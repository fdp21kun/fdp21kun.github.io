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投資\RecMiniOP\"/>
    </mc:Choice>
  </mc:AlternateContent>
  <xr:revisionPtr revIDLastSave="0" documentId="13_ncr:1_{E8A9E0C4-6409-47B2-BBBC-4DDB427C66E8}" xr6:coauthVersionLast="47" xr6:coauthVersionMax="47" xr10:uidLastSave="{00000000-0000-0000-0000-000000000000}"/>
  <bookViews>
    <workbookView xWindow="9315" yWindow="345" windowWidth="15540" windowHeight="13935" xr2:uid="{34E80A27-70D2-4941-AAC2-B755A2929024}"/>
  </bookViews>
  <sheets>
    <sheet name="Top" sheetId="12" r:id="rId1"/>
    <sheet name="N225Futures" sheetId="13" r:id="rId2"/>
    <sheet name="202310C" sheetId="4" r:id="rId3"/>
    <sheet name="202310P" sheetId="5" r:id="rId4"/>
    <sheet name="202310#3C" sheetId="6" r:id="rId5"/>
    <sheet name="202310#3P" sheetId="7" r:id="rId6"/>
    <sheet name="202310#4C" sheetId="8" r:id="rId7"/>
    <sheet name="202310#4P" sheetId="9" r:id="rId8"/>
    <sheet name="202311#1C" sheetId="10" r:id="rId9"/>
    <sheet name="202311#1P" sheetId="11" r:id="rId10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2" l="1"/>
  <c r="E1" i="12"/>
  <c r="F1" i="12" s="1"/>
  <c r="E2" i="12" l="1"/>
  <c r="F2" i="12" s="1"/>
  <c r="C39" i="11"/>
  <c r="C40" i="11" s="1"/>
  <c r="D3" i="11"/>
  <c r="D4" i="11" s="1"/>
  <c r="D5" i="11" s="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C3" i="11"/>
  <c r="C4" i="11" s="1"/>
  <c r="B3" i="11"/>
  <c r="B4" i="11" s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C39" i="10"/>
  <c r="C40" i="10" s="1"/>
  <c r="C41" i="10" s="1"/>
  <c r="D3" i="10"/>
  <c r="D4" i="10" s="1"/>
  <c r="D5" i="10" s="1"/>
  <c r="D6" i="10" s="1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C3" i="10"/>
  <c r="C4" i="10" s="1"/>
  <c r="C5" i="10" s="1"/>
  <c r="C6" i="10" s="1"/>
  <c r="B3" i="10"/>
  <c r="B4" i="10" s="1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C39" i="9"/>
  <c r="C40" i="9" s="1"/>
  <c r="D4" i="9"/>
  <c r="D5" i="9" s="1"/>
  <c r="D6" i="9" s="1"/>
  <c r="D7" i="9" s="1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D19" i="9" s="1"/>
  <c r="D20" i="9" s="1"/>
  <c r="D21" i="9" s="1"/>
  <c r="D22" i="9" s="1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3" i="9"/>
  <c r="C3" i="9"/>
  <c r="B3" i="9"/>
  <c r="B4" i="9" s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C39" i="8"/>
  <c r="C40" i="8" s="1"/>
  <c r="D3" i="8"/>
  <c r="D4" i="8" s="1"/>
  <c r="D5" i="8" s="1"/>
  <c r="D6" i="8" s="1"/>
  <c r="D7" i="8" s="1"/>
  <c r="D8" i="8" s="1"/>
  <c r="D9" i="8" s="1"/>
  <c r="D10" i="8" s="1"/>
  <c r="D11" i="8" s="1"/>
  <c r="D12" i="8" s="1"/>
  <c r="D13" i="8" s="1"/>
  <c r="D14" i="8" s="1"/>
  <c r="D15" i="8" s="1"/>
  <c r="D16" i="8" s="1"/>
  <c r="D17" i="8" s="1"/>
  <c r="D18" i="8" s="1"/>
  <c r="D19" i="8" s="1"/>
  <c r="D20" i="8" s="1"/>
  <c r="D21" i="8" s="1"/>
  <c r="D22" i="8" s="1"/>
  <c r="D23" i="8" s="1"/>
  <c r="D24" i="8" s="1"/>
  <c r="D25" i="8" s="1"/>
  <c r="D26" i="8" s="1"/>
  <c r="D27" i="8" s="1"/>
  <c r="D28" i="8" s="1"/>
  <c r="D29" i="8" s="1"/>
  <c r="D30" i="8" s="1"/>
  <c r="D31" i="8" s="1"/>
  <c r="D32" i="8" s="1"/>
  <c r="D33" i="8" s="1"/>
  <c r="D34" i="8" s="1"/>
  <c r="D35" i="8" s="1"/>
  <c r="D36" i="8" s="1"/>
  <c r="D37" i="8" s="1"/>
  <c r="D38" i="8" s="1"/>
  <c r="D39" i="8" s="1"/>
  <c r="D40" i="8" s="1"/>
  <c r="D41" i="8" s="1"/>
  <c r="D42" i="8" s="1"/>
  <c r="D43" i="8" s="1"/>
  <c r="D44" i="8" s="1"/>
  <c r="D45" i="8" s="1"/>
  <c r="D46" i="8" s="1"/>
  <c r="D47" i="8" s="1"/>
  <c r="D48" i="8" s="1"/>
  <c r="D49" i="8" s="1"/>
  <c r="D50" i="8" s="1"/>
  <c r="D51" i="8" s="1"/>
  <c r="D52" i="8" s="1"/>
  <c r="D53" i="8" s="1"/>
  <c r="D54" i="8" s="1"/>
  <c r="D55" i="8" s="1"/>
  <c r="D56" i="8" s="1"/>
  <c r="D57" i="8" s="1"/>
  <c r="D58" i="8" s="1"/>
  <c r="D59" i="8" s="1"/>
  <c r="D60" i="8" s="1"/>
  <c r="D61" i="8" s="1"/>
  <c r="D62" i="8" s="1"/>
  <c r="D63" i="8" s="1"/>
  <c r="D64" i="8" s="1"/>
  <c r="D65" i="8" s="1"/>
  <c r="D66" i="8" s="1"/>
  <c r="D67" i="8" s="1"/>
  <c r="D68" i="8" s="1"/>
  <c r="C3" i="8"/>
  <c r="C4" i="8" s="1"/>
  <c r="C5" i="8" s="1"/>
  <c r="B3" i="8"/>
  <c r="B4" i="8" s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C39" i="7"/>
  <c r="C40" i="7" s="1"/>
  <c r="D3" i="7"/>
  <c r="D4" i="7" s="1"/>
  <c r="D5" i="7" s="1"/>
  <c r="D6" i="7" s="1"/>
  <c r="D7" i="7" s="1"/>
  <c r="D8" i="7" s="1"/>
  <c r="D9" i="7" s="1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40" i="7" s="1"/>
  <c r="D41" i="7" s="1"/>
  <c r="D42" i="7" s="1"/>
  <c r="D43" i="7" s="1"/>
  <c r="D44" i="7" s="1"/>
  <c r="D45" i="7" s="1"/>
  <c r="D46" i="7" s="1"/>
  <c r="D47" i="7" s="1"/>
  <c r="D48" i="7" s="1"/>
  <c r="D49" i="7" s="1"/>
  <c r="D50" i="7" s="1"/>
  <c r="D51" i="7" s="1"/>
  <c r="D52" i="7" s="1"/>
  <c r="D53" i="7" s="1"/>
  <c r="D54" i="7" s="1"/>
  <c r="D55" i="7" s="1"/>
  <c r="D56" i="7" s="1"/>
  <c r="D57" i="7" s="1"/>
  <c r="D58" i="7" s="1"/>
  <c r="D59" i="7" s="1"/>
  <c r="D60" i="7" s="1"/>
  <c r="D61" i="7" s="1"/>
  <c r="D62" i="7" s="1"/>
  <c r="D63" i="7" s="1"/>
  <c r="D64" i="7" s="1"/>
  <c r="D65" i="7" s="1"/>
  <c r="D66" i="7" s="1"/>
  <c r="D67" i="7" s="1"/>
  <c r="D68" i="7" s="1"/>
  <c r="C3" i="7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C39" i="6"/>
  <c r="D3" i="6"/>
  <c r="D4" i="6" s="1"/>
  <c r="D5" i="6" s="1"/>
  <c r="D6" i="6" s="1"/>
  <c r="D7" i="6" s="1"/>
  <c r="D8" i="6" s="1"/>
  <c r="D9" i="6" s="1"/>
  <c r="D10" i="6" s="1"/>
  <c r="D11" i="6" s="1"/>
  <c r="D12" i="6" s="1"/>
  <c r="D13" i="6" s="1"/>
  <c r="D14" i="6" s="1"/>
  <c r="D15" i="6" s="1"/>
  <c r="D16" i="6" s="1"/>
  <c r="D17" i="6" s="1"/>
  <c r="D18" i="6" s="1"/>
  <c r="D19" i="6" s="1"/>
  <c r="D20" i="6" s="1"/>
  <c r="D21" i="6" s="1"/>
  <c r="D22" i="6" s="1"/>
  <c r="D23" i="6" s="1"/>
  <c r="D24" i="6" s="1"/>
  <c r="D25" i="6" s="1"/>
  <c r="D26" i="6" s="1"/>
  <c r="D27" i="6" s="1"/>
  <c r="D28" i="6" s="1"/>
  <c r="D29" i="6" s="1"/>
  <c r="D30" i="6" s="1"/>
  <c r="D31" i="6" s="1"/>
  <c r="D32" i="6" s="1"/>
  <c r="D33" i="6" s="1"/>
  <c r="D34" i="6" s="1"/>
  <c r="D35" i="6" s="1"/>
  <c r="D36" i="6" s="1"/>
  <c r="D37" i="6" s="1"/>
  <c r="D38" i="6" s="1"/>
  <c r="D39" i="6" s="1"/>
  <c r="D40" i="6" s="1"/>
  <c r="D41" i="6" s="1"/>
  <c r="D42" i="6" s="1"/>
  <c r="D43" i="6" s="1"/>
  <c r="D44" i="6" s="1"/>
  <c r="D45" i="6" s="1"/>
  <c r="D46" i="6" s="1"/>
  <c r="D47" i="6" s="1"/>
  <c r="D48" i="6" s="1"/>
  <c r="D49" i="6" s="1"/>
  <c r="D50" i="6" s="1"/>
  <c r="D51" i="6" s="1"/>
  <c r="D52" i="6" s="1"/>
  <c r="D53" i="6" s="1"/>
  <c r="D54" i="6" s="1"/>
  <c r="D55" i="6" s="1"/>
  <c r="D56" i="6" s="1"/>
  <c r="D57" i="6" s="1"/>
  <c r="D58" i="6" s="1"/>
  <c r="D59" i="6" s="1"/>
  <c r="D60" i="6" s="1"/>
  <c r="D61" i="6" s="1"/>
  <c r="D62" i="6" s="1"/>
  <c r="D63" i="6" s="1"/>
  <c r="D64" i="6" s="1"/>
  <c r="D65" i="6" s="1"/>
  <c r="D66" i="6" s="1"/>
  <c r="D67" i="6" s="1"/>
  <c r="D68" i="6" s="1"/>
  <c r="C3" i="6"/>
  <c r="C4" i="6" s="1"/>
  <c r="C5" i="6" s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C39" i="5"/>
  <c r="C40" i="5" s="1"/>
  <c r="D3" i="5"/>
  <c r="D4" i="5" s="1"/>
  <c r="D5" i="5" s="1"/>
  <c r="D6" i="5" s="1"/>
  <c r="D7" i="5" s="1"/>
  <c r="D8" i="5" s="1"/>
  <c r="D9" i="5" s="1"/>
  <c r="D10" i="5" s="1"/>
  <c r="D11" i="5" s="1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40" i="5" s="1"/>
  <c r="D41" i="5" s="1"/>
  <c r="D42" i="5" s="1"/>
  <c r="D43" i="5" s="1"/>
  <c r="D44" i="5" s="1"/>
  <c r="D45" i="5" s="1"/>
  <c r="D46" i="5" s="1"/>
  <c r="D47" i="5" s="1"/>
  <c r="D48" i="5" s="1"/>
  <c r="D49" i="5" s="1"/>
  <c r="D50" i="5" s="1"/>
  <c r="D51" i="5" s="1"/>
  <c r="D52" i="5" s="1"/>
  <c r="D53" i="5" s="1"/>
  <c r="D54" i="5" s="1"/>
  <c r="D55" i="5" s="1"/>
  <c r="D56" i="5" s="1"/>
  <c r="D57" i="5" s="1"/>
  <c r="D58" i="5" s="1"/>
  <c r="D59" i="5" s="1"/>
  <c r="D60" i="5" s="1"/>
  <c r="D61" i="5" s="1"/>
  <c r="D62" i="5" s="1"/>
  <c r="D63" i="5" s="1"/>
  <c r="D64" i="5" s="1"/>
  <c r="D65" i="5" s="1"/>
  <c r="D66" i="5" s="1"/>
  <c r="D67" i="5" s="1"/>
  <c r="D68" i="5" s="1"/>
  <c r="C3" i="5"/>
  <c r="C4" i="5" s="1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C39" i="4"/>
  <c r="C40" i="4" s="1"/>
  <c r="D3" i="4"/>
  <c r="D4" i="4" s="1"/>
  <c r="D5" i="4" s="1"/>
  <c r="D6" i="4" s="1"/>
  <c r="D7" i="4" s="1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C3" i="4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C9" i="13"/>
  <c r="C12" i="13"/>
  <c r="C7" i="13"/>
  <c r="C6" i="13"/>
  <c r="H6" i="13" s="1"/>
  <c r="D7" i="13"/>
  <c r="H7" i="13"/>
  <c r="H12" i="13"/>
  <c r="G7" i="13"/>
  <c r="G9" i="13"/>
  <c r="E9" i="13"/>
  <c r="F7" i="13"/>
  <c r="E7" i="13"/>
  <c r="D12" i="13"/>
  <c r="E12" i="13"/>
  <c r="C4" i="13"/>
  <c r="F9" i="13"/>
  <c r="G12" i="13"/>
  <c r="C3" i="13"/>
  <c r="F12" i="13"/>
  <c r="H9" i="13"/>
  <c r="E6" i="13"/>
  <c r="C10" i="13"/>
  <c r="C5" i="13"/>
  <c r="G6" i="13"/>
  <c r="H3" i="13"/>
  <c r="C2" i="13"/>
  <c r="G2" i="13" s="1"/>
  <c r="C8" i="13"/>
  <c r="H2" i="13"/>
  <c r="D8" i="13"/>
  <c r="D2" i="13"/>
  <c r="C11" i="13"/>
  <c r="D4" i="13"/>
  <c r="F2" i="13"/>
  <c r="E2" i="13"/>
  <c r="E10" i="13"/>
  <c r="G4" i="13"/>
  <c r="F6" i="13"/>
  <c r="H4" i="13"/>
  <c r="F4" i="13"/>
  <c r="D3" i="13"/>
  <c r="F3" i="13"/>
  <c r="E3" i="13"/>
  <c r="G3" i="13"/>
  <c r="D10" i="13"/>
  <c r="G10" i="13"/>
  <c r="H10" i="13"/>
  <c r="D5" i="13"/>
  <c r="E5" i="13"/>
  <c r="G5" i="13"/>
  <c r="F5" i="13"/>
  <c r="H5" i="13"/>
  <c r="F8" i="13"/>
  <c r="H8" i="13"/>
  <c r="E8" i="13"/>
  <c r="D11" i="13"/>
  <c r="G11" i="13"/>
  <c r="H11" i="13"/>
  <c r="F11" i="13"/>
  <c r="E11" i="13"/>
  <c r="C7" i="10" l="1"/>
  <c r="C41" i="11"/>
  <c r="C42" i="10"/>
  <c r="C5" i="11"/>
  <c r="C6" i="8"/>
  <c r="C41" i="9"/>
  <c r="C4" i="9"/>
  <c r="C41" i="8"/>
  <c r="C40" i="6"/>
  <c r="C6" i="6"/>
  <c r="C41" i="7"/>
  <c r="C4" i="7"/>
  <c r="C5" i="5"/>
  <c r="C41" i="5"/>
  <c r="C41" i="4"/>
  <c r="C4" i="4"/>
  <c r="G8" i="13"/>
  <c r="D6" i="13"/>
  <c r="E4" i="13"/>
  <c r="D9" i="13"/>
  <c r="F10" i="13"/>
  <c r="C43" i="10" l="1"/>
  <c r="C42" i="11"/>
  <c r="C8" i="10"/>
  <c r="C6" i="11"/>
  <c r="C7" i="8"/>
  <c r="C42" i="8"/>
  <c r="C5" i="9"/>
  <c r="C42" i="9"/>
  <c r="C7" i="6"/>
  <c r="C41" i="6"/>
  <c r="C5" i="7"/>
  <c r="C42" i="7"/>
  <c r="C42" i="5"/>
  <c r="C6" i="5"/>
  <c r="C5" i="4"/>
  <c r="C42" i="4"/>
  <c r="E39" i="11"/>
  <c r="M39" i="11"/>
  <c r="P39" i="11"/>
  <c r="E38" i="8"/>
  <c r="K38" i="8"/>
  <c r="E4" i="5"/>
  <c r="Q39" i="11"/>
  <c r="Q4" i="5"/>
  <c r="E5" i="5"/>
  <c r="E38" i="4"/>
  <c r="E3" i="7"/>
  <c r="L3" i="7" s="1"/>
  <c r="E4" i="8"/>
  <c r="E40" i="8"/>
  <c r="F38" i="8"/>
  <c r="I3" i="7"/>
  <c r="K39" i="11"/>
  <c r="O38" i="4"/>
  <c r="N38" i="8"/>
  <c r="K40" i="8"/>
  <c r="K4" i="5"/>
  <c r="O39" i="11"/>
  <c r="E39" i="8"/>
  <c r="E4" i="9"/>
  <c r="E38" i="9"/>
  <c r="E38" i="7"/>
  <c r="M38" i="9"/>
  <c r="E40" i="10"/>
  <c r="G40" i="10" s="1"/>
  <c r="E3" i="5"/>
  <c r="H4" i="9"/>
  <c r="Q5" i="5"/>
  <c r="M5" i="5"/>
  <c r="J38" i="4"/>
  <c r="P38" i="8"/>
  <c r="N4" i="9"/>
  <c r="M4" i="9"/>
  <c r="Q38" i="8"/>
  <c r="L40" i="8"/>
  <c r="P40" i="10"/>
  <c r="E3" i="11"/>
  <c r="N3" i="11" s="1"/>
  <c r="E3" i="4"/>
  <c r="L3" i="11"/>
  <c r="O3" i="11"/>
  <c r="E4" i="11"/>
  <c r="K4" i="11" s="1"/>
  <c r="F3" i="11"/>
  <c r="E41" i="8"/>
  <c r="I41" i="8"/>
  <c r="E40" i="7"/>
  <c r="E2" i="10"/>
  <c r="O5" i="5"/>
  <c r="G38" i="7"/>
  <c r="N38" i="4"/>
  <c r="E39" i="10"/>
  <c r="G38" i="9"/>
  <c r="I38" i="7"/>
  <c r="H3" i="4"/>
  <c r="K3" i="7"/>
  <c r="N4" i="8"/>
  <c r="H4" i="11"/>
  <c r="I38" i="8"/>
  <c r="G40" i="8"/>
  <c r="I40" i="10"/>
  <c r="G40" i="7"/>
  <c r="F4" i="5"/>
  <c r="J39" i="10"/>
  <c r="E7" i="10"/>
  <c r="E39" i="6"/>
  <c r="E5" i="11"/>
  <c r="P5" i="11"/>
  <c r="O4" i="9"/>
  <c r="I3" i="11"/>
  <c r="P39" i="8"/>
  <c r="E39" i="5"/>
  <c r="H3" i="11"/>
  <c r="G3" i="11"/>
  <c r="I38" i="9"/>
  <c r="F40" i="10"/>
  <c r="E6" i="8"/>
  <c r="E41" i="5"/>
  <c r="H39" i="11"/>
  <c r="I5" i="5"/>
  <c r="F40" i="8"/>
  <c r="L39" i="8"/>
  <c r="G3" i="4"/>
  <c r="Q3" i="7"/>
  <c r="M4" i="8"/>
  <c r="M4" i="11"/>
  <c r="L38" i="8"/>
  <c r="M40" i="8"/>
  <c r="K40" i="10"/>
  <c r="E41" i="11"/>
  <c r="F39" i="11"/>
  <c r="E2" i="4"/>
  <c r="E39" i="9"/>
  <c r="F39" i="9" s="1"/>
  <c r="G39" i="11"/>
  <c r="F5" i="11"/>
  <c r="E3" i="10"/>
  <c r="E6" i="10"/>
  <c r="Q4" i="8"/>
  <c r="L2" i="4"/>
  <c r="Q39" i="5"/>
  <c r="O40" i="8"/>
  <c r="J6" i="10"/>
  <c r="Q2" i="10"/>
  <c r="M3" i="10"/>
  <c r="P5" i="5"/>
  <c r="J39" i="8"/>
  <c r="Q40" i="7"/>
  <c r="L4" i="8"/>
  <c r="N3" i="5"/>
  <c r="Q39" i="8"/>
  <c r="J40" i="7"/>
  <c r="N3" i="4"/>
  <c r="K38" i="4"/>
  <c r="N3" i="7"/>
  <c r="J4" i="8"/>
  <c r="J38" i="8"/>
  <c r="L6" i="10"/>
  <c r="H40" i="8"/>
  <c r="O40" i="10"/>
  <c r="I6" i="8"/>
  <c r="I39" i="10"/>
  <c r="N38" i="7"/>
  <c r="P40" i="8"/>
  <c r="N6" i="8"/>
  <c r="F6" i="8"/>
  <c r="Q39" i="10"/>
  <c r="O7" i="10"/>
  <c r="E40" i="5"/>
  <c r="L39" i="11"/>
  <c r="F5" i="5"/>
  <c r="E2" i="6"/>
  <c r="J2" i="6"/>
  <c r="E5" i="6"/>
  <c r="G3" i="10"/>
  <c r="Q38" i="7"/>
  <c r="E39" i="7"/>
  <c r="F6" i="10"/>
  <c r="Q41" i="8"/>
  <c r="G4" i="8"/>
  <c r="F3" i="4"/>
  <c r="Q2" i="6"/>
  <c r="H3" i="7"/>
  <c r="E40" i="9"/>
  <c r="F4" i="11"/>
  <c r="N39" i="5"/>
  <c r="E38" i="11"/>
  <c r="G4" i="5"/>
  <c r="J40" i="8"/>
  <c r="K2" i="4"/>
  <c r="Q6" i="10"/>
  <c r="J41" i="5"/>
  <c r="L40" i="7"/>
  <c r="Q40" i="8"/>
  <c r="G4" i="11"/>
  <c r="O38" i="8"/>
  <c r="G38" i="8"/>
  <c r="I5" i="11"/>
  <c r="M38" i="4"/>
  <c r="O3" i="7"/>
  <c r="K4" i="8"/>
  <c r="J5" i="6"/>
  <c r="J38" i="7"/>
  <c r="P6" i="10"/>
  <c r="N40" i="8"/>
  <c r="K3" i="5"/>
  <c r="L40" i="9"/>
  <c r="L6" i="8"/>
  <c r="P38" i="11"/>
  <c r="O39" i="10"/>
  <c r="F38" i="9"/>
  <c r="J40" i="9"/>
  <c r="Q40" i="9"/>
  <c r="F39" i="10"/>
  <c r="F7" i="10"/>
  <c r="E5" i="8"/>
  <c r="J3" i="11"/>
  <c r="O5" i="8"/>
  <c r="N41" i="11"/>
  <c r="G38" i="4"/>
  <c r="E38" i="5"/>
  <c r="G38" i="5"/>
  <c r="P4" i="11"/>
  <c r="I39" i="6"/>
  <c r="Q39" i="7"/>
  <c r="M39" i="9"/>
  <c r="H38" i="8"/>
  <c r="M3" i="7"/>
  <c r="P3" i="10"/>
  <c r="N4" i="11"/>
  <c r="E40" i="11"/>
  <c r="K38" i="5"/>
  <c r="E40" i="6"/>
  <c r="N3" i="10"/>
  <c r="E3" i="6"/>
  <c r="M5" i="6"/>
  <c r="P38" i="4"/>
  <c r="I2" i="10"/>
  <c r="I40" i="8"/>
  <c r="H39" i="8"/>
  <c r="E4" i="6"/>
  <c r="F3" i="7"/>
  <c r="L2" i="6"/>
  <c r="G39" i="7"/>
  <c r="I38" i="4"/>
  <c r="H4" i="8"/>
  <c r="J39" i="11"/>
  <c r="Q5" i="11"/>
  <c r="L38" i="4"/>
  <c r="L4" i="9"/>
  <c r="I38" i="5"/>
  <c r="K5" i="6"/>
  <c r="M39" i="7"/>
  <c r="Q3" i="5"/>
  <c r="I4" i="5"/>
  <c r="N3" i="6"/>
  <c r="G41" i="5"/>
  <c r="G39" i="10"/>
  <c r="G38" i="11"/>
  <c r="I41" i="5"/>
  <c r="M38" i="11"/>
  <c r="E4" i="7"/>
  <c r="E4" i="10"/>
  <c r="E39" i="4"/>
  <c r="J5" i="5"/>
  <c r="J39" i="9"/>
  <c r="Q3" i="11"/>
  <c r="L3" i="4"/>
  <c r="P41" i="11"/>
  <c r="N4" i="7"/>
  <c r="E38" i="6"/>
  <c r="N39" i="9"/>
  <c r="L4" i="11"/>
  <c r="J4" i="7"/>
  <c r="L40" i="10"/>
  <c r="K3" i="4"/>
  <c r="P4" i="10"/>
  <c r="O39" i="6"/>
  <c r="P39" i="9"/>
  <c r="P5" i="6"/>
  <c r="Q39" i="6"/>
  <c r="K39" i="5"/>
  <c r="E5" i="10"/>
  <c r="O4" i="7"/>
  <c r="I4" i="11"/>
  <c r="F38" i="4"/>
  <c r="Q4" i="11"/>
  <c r="E41" i="4"/>
  <c r="M2" i="10"/>
  <c r="L7" i="10"/>
  <c r="H4" i="6"/>
  <c r="E2" i="8"/>
  <c r="O41" i="11"/>
  <c r="I5" i="10"/>
  <c r="H40" i="10"/>
  <c r="H3" i="10"/>
  <c r="M38" i="7"/>
  <c r="H38" i="9"/>
  <c r="K5" i="8"/>
  <c r="M2" i="4"/>
  <c r="I39" i="9"/>
  <c r="K4" i="9"/>
  <c r="Q38" i="9"/>
  <c r="K38" i="7"/>
  <c r="O39" i="7"/>
  <c r="M41" i="8"/>
  <c r="O3" i="5"/>
  <c r="I40" i="11"/>
  <c r="N4" i="5"/>
  <c r="O3" i="6"/>
  <c r="F41" i="5"/>
  <c r="K39" i="10"/>
  <c r="J2" i="8"/>
  <c r="E2" i="9"/>
  <c r="E2" i="5"/>
  <c r="N39" i="11"/>
  <c r="N4" i="10"/>
  <c r="M3" i="11"/>
  <c r="L5" i="8"/>
  <c r="G39" i="9"/>
  <c r="K3" i="11"/>
  <c r="K5" i="11"/>
  <c r="N5" i="8"/>
  <c r="O3" i="10"/>
  <c r="E3" i="8"/>
  <c r="P40" i="5"/>
  <c r="G4" i="9"/>
  <c r="Q5" i="8"/>
  <c r="K4" i="7"/>
  <c r="F4" i="8"/>
  <c r="P3" i="7"/>
  <c r="F40" i="5"/>
  <c r="K39" i="9"/>
  <c r="G40" i="5"/>
  <c r="P2" i="4"/>
  <c r="O5" i="6"/>
  <c r="J39" i="4"/>
  <c r="K3" i="10"/>
  <c r="L38" i="7"/>
  <c r="I3" i="10"/>
  <c r="O4" i="6"/>
  <c r="I40" i="7"/>
  <c r="H39" i="9"/>
  <c r="P6" i="8"/>
  <c r="P39" i="6"/>
  <c r="L2" i="5"/>
  <c r="M5" i="8"/>
  <c r="N2" i="4"/>
  <c r="Q39" i="9"/>
  <c r="J4" i="9"/>
  <c r="J38" i="9"/>
  <c r="M39" i="5"/>
  <c r="J39" i="7"/>
  <c r="J3" i="8"/>
  <c r="P41" i="8"/>
  <c r="M40" i="10"/>
  <c r="J3" i="5"/>
  <c r="L40" i="11"/>
  <c r="P4" i="5"/>
  <c r="P40" i="9"/>
  <c r="Q6" i="8"/>
  <c r="J3" i="6"/>
  <c r="J38" i="11"/>
  <c r="Q2" i="9"/>
  <c r="E3" i="9"/>
  <c r="I5" i="8"/>
  <c r="Q38" i="4"/>
  <c r="G5" i="5"/>
  <c r="G2" i="5"/>
  <c r="E2" i="11"/>
  <c r="E2" i="7"/>
  <c r="J4" i="11"/>
  <c r="I4" i="9"/>
  <c r="L39" i="4"/>
  <c r="P7" i="10"/>
  <c r="E41" i="7"/>
  <c r="M41" i="11"/>
  <c r="O38" i="7"/>
  <c r="J2" i="4"/>
  <c r="I2" i="5"/>
  <c r="E42" i="10"/>
  <c r="H4" i="5"/>
  <c r="F3" i="10"/>
  <c r="K39" i="4"/>
  <c r="Q3" i="8"/>
  <c r="L2" i="10"/>
  <c r="G2" i="9"/>
  <c r="M39" i="6"/>
  <c r="P2" i="5"/>
  <c r="F5" i="10"/>
  <c r="H39" i="5"/>
  <c r="E41" i="9"/>
  <c r="L41" i="9"/>
  <c r="J39" i="6"/>
  <c r="G41" i="4"/>
  <c r="J38" i="6"/>
  <c r="Q38" i="11"/>
  <c r="Q38" i="6"/>
  <c r="O5" i="10"/>
  <c r="H40" i="9"/>
  <c r="K5" i="10"/>
  <c r="J4" i="10"/>
  <c r="H2" i="4"/>
  <c r="O39" i="9"/>
  <c r="F4" i="9"/>
  <c r="H2" i="11"/>
  <c r="L38" i="9"/>
  <c r="G39" i="5"/>
  <c r="G38" i="6"/>
  <c r="I3" i="8"/>
  <c r="J41" i="8"/>
  <c r="N40" i="10"/>
  <c r="H3" i="5"/>
  <c r="H40" i="11"/>
  <c r="L4" i="5"/>
  <c r="J40" i="6"/>
  <c r="J6" i="8"/>
  <c r="F2" i="10"/>
  <c r="K41" i="5"/>
  <c r="F2" i="9"/>
  <c r="F39" i="6"/>
  <c r="E41" i="10"/>
  <c r="L2" i="9"/>
  <c r="P3" i="11"/>
  <c r="E4" i="4"/>
  <c r="M7" i="10"/>
  <c r="E40" i="4"/>
  <c r="E38" i="10"/>
  <c r="I41" i="11"/>
  <c r="Q4" i="10"/>
  <c r="L4" i="7"/>
  <c r="J3" i="7"/>
  <c r="N7" i="10"/>
  <c r="N5" i="11"/>
  <c r="P41" i="7"/>
  <c r="M39" i="8"/>
  <c r="P38" i="5"/>
  <c r="F4" i="7"/>
  <c r="H4" i="10"/>
  <c r="K40" i="4"/>
  <c r="P40" i="11"/>
  <c r="K39" i="6"/>
  <c r="O40" i="5"/>
  <c r="N3" i="8"/>
  <c r="F5" i="6"/>
  <c r="G41" i="10"/>
  <c r="G5" i="6"/>
  <c r="M40" i="9"/>
  <c r="H40" i="5"/>
  <c r="L3" i="5"/>
  <c r="G3" i="5"/>
  <c r="J39" i="5"/>
  <c r="M39" i="4"/>
  <c r="E6" i="6"/>
  <c r="I4" i="4"/>
  <c r="M38" i="8"/>
  <c r="I4" i="8"/>
  <c r="O39" i="4"/>
  <c r="O2" i="9"/>
  <c r="I4" i="7"/>
  <c r="K4" i="10"/>
  <c r="Q39" i="4"/>
  <c r="Q4" i="4"/>
  <c r="M2" i="6"/>
  <c r="N2" i="11"/>
  <c r="M40" i="4"/>
  <c r="K38" i="9"/>
  <c r="Q38" i="10"/>
  <c r="I39" i="5"/>
  <c r="L38" i="6"/>
  <c r="K3" i="8"/>
  <c r="K41" i="8"/>
  <c r="J40" i="10"/>
  <c r="I3" i="5"/>
  <c r="P42" i="10"/>
  <c r="O4" i="5"/>
  <c r="Q40" i="6"/>
  <c r="O6" i="8"/>
  <c r="P2" i="10"/>
  <c r="K38" i="11"/>
  <c r="F41" i="4"/>
  <c r="Q41" i="5"/>
  <c r="H41" i="9"/>
  <c r="F2" i="8"/>
  <c r="H39" i="10"/>
  <c r="O38" i="9"/>
  <c r="Q40" i="10"/>
  <c r="O40" i="6"/>
  <c r="M41" i="4"/>
  <c r="M2" i="8"/>
  <c r="M4" i="5"/>
  <c r="O41" i="9"/>
  <c r="K2" i="10"/>
  <c r="J41" i="9"/>
  <c r="J41" i="4"/>
  <c r="K39" i="8"/>
  <c r="G39" i="8"/>
  <c r="F39" i="8"/>
  <c r="I39" i="8"/>
  <c r="Q4" i="9"/>
  <c r="P4" i="9"/>
  <c r="P38" i="9"/>
  <c r="N38" i="9"/>
  <c r="P38" i="7"/>
  <c r="F38" i="7"/>
  <c r="H38" i="7"/>
  <c r="M3" i="5"/>
  <c r="F3" i="5"/>
  <c r="O3" i="4"/>
  <c r="Q3" i="4"/>
  <c r="J3" i="4"/>
  <c r="I3" i="4"/>
  <c r="P3" i="4"/>
  <c r="G41" i="8"/>
  <c r="O41" i="8"/>
  <c r="L41" i="8"/>
  <c r="F41" i="8"/>
  <c r="O40" i="7"/>
  <c r="H40" i="7"/>
  <c r="N40" i="7"/>
  <c r="M40" i="7"/>
  <c r="K40" i="7"/>
  <c r="P40" i="7"/>
  <c r="F40" i="7"/>
  <c r="G2" i="10"/>
  <c r="H2" i="10"/>
  <c r="O2" i="10"/>
  <c r="N2" i="10"/>
  <c r="J2" i="10"/>
  <c r="M39" i="10"/>
  <c r="N39" i="10"/>
  <c r="P39" i="10"/>
  <c r="L39" i="10"/>
  <c r="I7" i="10"/>
  <c r="G7" i="10"/>
  <c r="Q7" i="10"/>
  <c r="J7" i="10"/>
  <c r="K7" i="10"/>
  <c r="N39" i="6"/>
  <c r="H39" i="6"/>
  <c r="M5" i="11"/>
  <c r="G5" i="11"/>
  <c r="L5" i="11"/>
  <c r="O5" i="11"/>
  <c r="F39" i="5"/>
  <c r="P39" i="5"/>
  <c r="O39" i="5"/>
  <c r="M6" i="8"/>
  <c r="K6" i="8"/>
  <c r="O41" i="5"/>
  <c r="N41" i="5"/>
  <c r="M41" i="5"/>
  <c r="L41" i="5"/>
  <c r="P41" i="5"/>
  <c r="J41" i="11"/>
  <c r="L41" i="11"/>
  <c r="Q41" i="11"/>
  <c r="G41" i="11"/>
  <c r="K41" i="11"/>
  <c r="F2" i="4"/>
  <c r="G2" i="4"/>
  <c r="Q2" i="4"/>
  <c r="O2" i="4"/>
  <c r="I2" i="4"/>
  <c r="L3" i="10"/>
  <c r="J3" i="10"/>
  <c r="I6" i="10"/>
  <c r="O6" i="10"/>
  <c r="N6" i="10"/>
  <c r="H6" i="10"/>
  <c r="G6" i="10"/>
  <c r="M6" i="10"/>
  <c r="K6" i="10"/>
  <c r="I40" i="5"/>
  <c r="K40" i="5"/>
  <c r="M40" i="5"/>
  <c r="Q40" i="5"/>
  <c r="J40" i="5"/>
  <c r="N40" i="5"/>
  <c r="I2" i="6"/>
  <c r="N2" i="6"/>
  <c r="K2" i="6"/>
  <c r="P2" i="6"/>
  <c r="O2" i="6"/>
  <c r="G2" i="6"/>
  <c r="F2" i="6"/>
  <c r="H2" i="6"/>
  <c r="Q5" i="6"/>
  <c r="N5" i="6"/>
  <c r="H5" i="6"/>
  <c r="I5" i="6"/>
  <c r="L5" i="6"/>
  <c r="N39" i="7"/>
  <c r="L39" i="7"/>
  <c r="I39" i="7"/>
  <c r="H39" i="7"/>
  <c r="F39" i="7"/>
  <c r="K39" i="7"/>
  <c r="P39" i="7"/>
  <c r="O40" i="9"/>
  <c r="F40" i="9"/>
  <c r="K40" i="9"/>
  <c r="G40" i="9"/>
  <c r="N40" i="9"/>
  <c r="H38" i="11"/>
  <c r="F38" i="11"/>
  <c r="O38" i="11"/>
  <c r="N38" i="11"/>
  <c r="I38" i="11"/>
  <c r="L38" i="11"/>
  <c r="H5" i="8"/>
  <c r="G5" i="8"/>
  <c r="P5" i="8"/>
  <c r="F5" i="8"/>
  <c r="J38" i="5"/>
  <c r="H38" i="5"/>
  <c r="F38" i="5"/>
  <c r="N38" i="5"/>
  <c r="L38" i="5"/>
  <c r="M38" i="5"/>
  <c r="Q38" i="5"/>
  <c r="O38" i="5"/>
  <c r="F40" i="11"/>
  <c r="G40" i="11"/>
  <c r="O40" i="11"/>
  <c r="M40" i="11"/>
  <c r="K40" i="11"/>
  <c r="J40" i="11"/>
  <c r="Q40" i="11"/>
  <c r="F40" i="6"/>
  <c r="K40" i="6"/>
  <c r="P40" i="6"/>
  <c r="I40" i="6"/>
  <c r="L40" i="6"/>
  <c r="N40" i="6"/>
  <c r="M40" i="6"/>
  <c r="G40" i="6"/>
  <c r="I3" i="6"/>
  <c r="Q3" i="6"/>
  <c r="K3" i="6"/>
  <c r="L3" i="6"/>
  <c r="P3" i="6"/>
  <c r="M3" i="6"/>
  <c r="G3" i="6"/>
  <c r="M4" i="6"/>
  <c r="J4" i="6"/>
  <c r="L4" i="6"/>
  <c r="K4" i="6"/>
  <c r="Q4" i="6"/>
  <c r="N4" i="6"/>
  <c r="G4" i="6"/>
  <c r="I4" i="6"/>
  <c r="F4" i="6"/>
  <c r="P4" i="6"/>
  <c r="P4" i="7"/>
  <c r="H4" i="7"/>
  <c r="Q4" i="7"/>
  <c r="G4" i="7"/>
  <c r="M4" i="7"/>
  <c r="O4" i="10"/>
  <c r="I4" i="10"/>
  <c r="F4" i="10"/>
  <c r="M4" i="10"/>
  <c r="L4" i="10"/>
  <c r="G4" i="10"/>
  <c r="F39" i="4"/>
  <c r="I39" i="4"/>
  <c r="P39" i="4"/>
  <c r="H39" i="4"/>
  <c r="N39" i="4"/>
  <c r="G39" i="4"/>
  <c r="N38" i="6"/>
  <c r="F38" i="6"/>
  <c r="O38" i="6"/>
  <c r="K38" i="6"/>
  <c r="I38" i="6"/>
  <c r="M38" i="6"/>
  <c r="H38" i="6"/>
  <c r="P38" i="6"/>
  <c r="Q5" i="10"/>
  <c r="P5" i="10"/>
  <c r="J5" i="10"/>
  <c r="H5" i="10"/>
  <c r="G5" i="10"/>
  <c r="M5" i="10"/>
  <c r="L5" i="10"/>
  <c r="O41" i="4"/>
  <c r="L41" i="4"/>
  <c r="N41" i="4"/>
  <c r="P41" i="4"/>
  <c r="K41" i="4"/>
  <c r="Q41" i="4"/>
  <c r="I41" i="4"/>
  <c r="L2" i="8"/>
  <c r="Q2" i="8"/>
  <c r="H2" i="8"/>
  <c r="G2" i="8"/>
  <c r="I2" i="8"/>
  <c r="N2" i="8"/>
  <c r="K2" i="8"/>
  <c r="O2" i="8"/>
  <c r="I2" i="9"/>
  <c r="H2" i="9"/>
  <c r="P2" i="9"/>
  <c r="J2" i="9"/>
  <c r="K2" i="9"/>
  <c r="M2" i="9"/>
  <c r="N2" i="9"/>
  <c r="H2" i="5"/>
  <c r="F2" i="5"/>
  <c r="Q2" i="5"/>
  <c r="K2" i="5"/>
  <c r="J2" i="5"/>
  <c r="O2" i="5"/>
  <c r="N2" i="5"/>
  <c r="F3" i="8"/>
  <c r="G3" i="8"/>
  <c r="O3" i="8"/>
  <c r="M3" i="8"/>
  <c r="H3" i="8"/>
  <c r="P3" i="8"/>
  <c r="L3" i="8"/>
  <c r="M3" i="9"/>
  <c r="I3" i="9"/>
  <c r="F3" i="9"/>
  <c r="P3" i="9"/>
  <c r="L3" i="9"/>
  <c r="H3" i="9"/>
  <c r="O3" i="9"/>
  <c r="J3" i="9"/>
  <c r="N3" i="9"/>
  <c r="K3" i="9"/>
  <c r="G3" i="9"/>
  <c r="Q3" i="9"/>
  <c r="O2" i="11"/>
  <c r="G2" i="11"/>
  <c r="L2" i="11"/>
  <c r="M2" i="11"/>
  <c r="Q2" i="11"/>
  <c r="I2" i="11"/>
  <c r="P2" i="11"/>
  <c r="J2" i="11"/>
  <c r="K2" i="11"/>
  <c r="F2" i="11"/>
  <c r="O2" i="7"/>
  <c r="M2" i="7"/>
  <c r="I2" i="7"/>
  <c r="L2" i="7"/>
  <c r="H2" i="7"/>
  <c r="G2" i="7"/>
  <c r="J2" i="7"/>
  <c r="F2" i="7"/>
  <c r="P2" i="7"/>
  <c r="K2" i="7"/>
  <c r="Q2" i="7"/>
  <c r="N2" i="7"/>
  <c r="J41" i="7"/>
  <c r="O41" i="7"/>
  <c r="H41" i="7"/>
  <c r="N41" i="7"/>
  <c r="K41" i="7"/>
  <c r="F41" i="7"/>
  <c r="I41" i="7"/>
  <c r="Q41" i="7"/>
  <c r="M41" i="7"/>
  <c r="L41" i="7"/>
  <c r="G41" i="7"/>
  <c r="L42" i="10"/>
  <c r="Q42" i="10"/>
  <c r="K42" i="10"/>
  <c r="N42" i="10"/>
  <c r="I42" i="10"/>
  <c r="J42" i="10"/>
  <c r="O42" i="10"/>
  <c r="F42" i="10"/>
  <c r="M42" i="10"/>
  <c r="P41" i="9"/>
  <c r="F41" i="9"/>
  <c r="G41" i="9"/>
  <c r="Q41" i="9"/>
  <c r="N41" i="9"/>
  <c r="I41" i="9"/>
  <c r="M41" i="9"/>
  <c r="K41" i="9"/>
  <c r="L41" i="10"/>
  <c r="O41" i="10"/>
  <c r="M41" i="10"/>
  <c r="J41" i="10"/>
  <c r="K41" i="10"/>
  <c r="Q41" i="10"/>
  <c r="I41" i="10"/>
  <c r="F41" i="10"/>
  <c r="H41" i="10"/>
  <c r="P41" i="10"/>
  <c r="N41" i="10"/>
  <c r="G4" i="4"/>
  <c r="J4" i="4"/>
  <c r="K4" i="4"/>
  <c r="N4" i="4"/>
  <c r="F4" i="4"/>
  <c r="L4" i="4"/>
  <c r="M4" i="4"/>
  <c r="P4" i="4"/>
  <c r="O4" i="4"/>
  <c r="G40" i="4"/>
  <c r="I40" i="4"/>
  <c r="P40" i="4"/>
  <c r="N40" i="4"/>
  <c r="L40" i="4"/>
  <c r="F40" i="4"/>
  <c r="H40" i="4"/>
  <c r="O40" i="4"/>
  <c r="J40" i="4"/>
  <c r="F38" i="10"/>
  <c r="J38" i="10"/>
  <c r="N38" i="10"/>
  <c r="O38" i="10"/>
  <c r="M38" i="10"/>
  <c r="G38" i="10"/>
  <c r="H38" i="10"/>
  <c r="P38" i="10"/>
  <c r="I38" i="10"/>
  <c r="K38" i="10"/>
  <c r="L38" i="10"/>
  <c r="N6" i="6"/>
  <c r="K6" i="6"/>
  <c r="Q6" i="6"/>
  <c r="M6" i="6"/>
  <c r="P6" i="6"/>
  <c r="F6" i="6"/>
  <c r="H6" i="6"/>
  <c r="I6" i="6"/>
  <c r="L6" i="6"/>
  <c r="J6" i="6"/>
  <c r="G6" i="6"/>
  <c r="C7" i="11" l="1"/>
  <c r="C9" i="10"/>
  <c r="C43" i="11"/>
  <c r="C44" i="10"/>
  <c r="C43" i="8"/>
  <c r="C8" i="8"/>
  <c r="C6" i="9"/>
  <c r="C43" i="9"/>
  <c r="C42" i="6"/>
  <c r="C8" i="6"/>
  <c r="C43" i="7"/>
  <c r="C6" i="7"/>
  <c r="C7" i="5"/>
  <c r="C43" i="5"/>
  <c r="C6" i="4"/>
  <c r="C43" i="4"/>
  <c r="L40" i="5"/>
  <c r="H41" i="5"/>
  <c r="Q40" i="4"/>
  <c r="E6" i="5"/>
  <c r="O6" i="6"/>
  <c r="H3" i="6"/>
  <c r="O4" i="11"/>
  <c r="E7" i="8"/>
  <c r="M7" i="8" s="1"/>
  <c r="L6" i="5"/>
  <c r="N5" i="10"/>
  <c r="O6" i="5"/>
  <c r="P2" i="8"/>
  <c r="P6" i="5"/>
  <c r="H6" i="8"/>
  <c r="I6" i="5"/>
  <c r="M2" i="5"/>
  <c r="H5" i="5"/>
  <c r="N39" i="8"/>
  <c r="E42" i="5"/>
  <c r="H41" i="4"/>
  <c r="K5" i="5"/>
  <c r="G6" i="8"/>
  <c r="P3" i="5"/>
  <c r="L39" i="5"/>
  <c r="L42" i="5"/>
  <c r="E42" i="11"/>
  <c r="N42" i="5"/>
  <c r="J5" i="8"/>
  <c r="O42" i="5"/>
  <c r="I42" i="11"/>
  <c r="O42" i="11"/>
  <c r="P7" i="8"/>
  <c r="G3" i="7"/>
  <c r="N40" i="11"/>
  <c r="E42" i="9"/>
  <c r="I39" i="11"/>
  <c r="M42" i="11"/>
  <c r="J42" i="5"/>
  <c r="L39" i="6"/>
  <c r="N42" i="11"/>
  <c r="J4" i="5"/>
  <c r="G6" i="5"/>
  <c r="K6" i="5"/>
  <c r="E5" i="7"/>
  <c r="J5" i="7"/>
  <c r="N41" i="8"/>
  <c r="H42" i="9"/>
  <c r="F41" i="11"/>
  <c r="I42" i="5"/>
  <c r="H4" i="4"/>
  <c r="G42" i="10"/>
  <c r="H41" i="8"/>
  <c r="F42" i="9"/>
  <c r="M42" i="9"/>
  <c r="G5" i="7"/>
  <c r="E41" i="6"/>
  <c r="E43" i="10"/>
  <c r="E6" i="11"/>
  <c r="L41" i="6"/>
  <c r="O39" i="8"/>
  <c r="K7" i="8"/>
  <c r="O6" i="11"/>
  <c r="M6" i="11"/>
  <c r="H5" i="11"/>
  <c r="H38" i="4"/>
  <c r="M3" i="4"/>
  <c r="E42" i="7"/>
  <c r="F6" i="11"/>
  <c r="L5" i="5"/>
  <c r="H42" i="10"/>
  <c r="G42" i="7"/>
  <c r="E5" i="9"/>
  <c r="N42" i="7"/>
  <c r="L5" i="7"/>
  <c r="Q7" i="8"/>
  <c r="I42" i="9"/>
  <c r="F41" i="6"/>
  <c r="L43" i="10"/>
  <c r="G7" i="8"/>
  <c r="I7" i="8"/>
  <c r="P5" i="7"/>
  <c r="J5" i="11"/>
  <c r="F42" i="5"/>
  <c r="H41" i="11"/>
  <c r="Q41" i="6"/>
  <c r="H7" i="10"/>
  <c r="P42" i="5"/>
  <c r="E7" i="6"/>
  <c r="P4" i="8"/>
  <c r="P42" i="9"/>
  <c r="N41" i="6"/>
  <c r="H40" i="6"/>
  <c r="N5" i="5"/>
  <c r="O43" i="10"/>
  <c r="L39" i="9"/>
  <c r="E42" i="4"/>
  <c r="M5" i="9"/>
  <c r="M42" i="5"/>
  <c r="J6" i="5"/>
  <c r="P42" i="7"/>
  <c r="G42" i="5"/>
  <c r="E8" i="10"/>
  <c r="J42" i="9"/>
  <c r="M42" i="4"/>
  <c r="O7" i="8"/>
  <c r="M42" i="7"/>
  <c r="M41" i="6"/>
  <c r="F5" i="7"/>
  <c r="M8" i="10"/>
  <c r="F3" i="6"/>
  <c r="O4" i="8"/>
  <c r="J42" i="11"/>
  <c r="G43" i="10"/>
  <c r="N42" i="9"/>
  <c r="N6" i="5"/>
  <c r="G42" i="9"/>
  <c r="F6" i="5"/>
  <c r="N7" i="8"/>
  <c r="P6" i="11"/>
  <c r="M5" i="7"/>
  <c r="Q3" i="10"/>
  <c r="E42" i="8"/>
  <c r="K42" i="9"/>
  <c r="I42" i="4"/>
  <c r="M6" i="5"/>
  <c r="L42" i="4"/>
  <c r="Q6" i="5"/>
  <c r="Q42" i="4"/>
  <c r="Q6" i="11"/>
  <c r="I5" i="7"/>
  <c r="G39" i="6"/>
  <c r="P42" i="8"/>
  <c r="E5" i="4"/>
  <c r="P42" i="4"/>
  <c r="I40" i="9"/>
  <c r="O42" i="8"/>
  <c r="F7" i="8"/>
  <c r="I41" i="6"/>
  <c r="I42" i="8"/>
  <c r="Q42" i="11"/>
  <c r="L42" i="8"/>
  <c r="F42" i="8"/>
  <c r="J7" i="8"/>
  <c r="Q7" i="6"/>
  <c r="N5" i="4"/>
  <c r="Q42" i="5"/>
  <c r="L42" i="11"/>
  <c r="G42" i="11"/>
  <c r="F42" i="11"/>
  <c r="P42" i="11"/>
  <c r="O42" i="9"/>
  <c r="L42" i="9"/>
  <c r="Q42" i="9"/>
  <c r="O5" i="7"/>
  <c r="N5" i="7"/>
  <c r="Q5" i="7"/>
  <c r="K5" i="7"/>
  <c r="P41" i="6"/>
  <c r="J41" i="6"/>
  <c r="K41" i="6"/>
  <c r="O41" i="6"/>
  <c r="N43" i="10"/>
  <c r="J43" i="10"/>
  <c r="M43" i="10"/>
  <c r="P43" i="10"/>
  <c r="I43" i="10"/>
  <c r="K43" i="10"/>
  <c r="F43" i="10"/>
  <c r="Q43" i="10"/>
  <c r="I6" i="11"/>
  <c r="G6" i="11"/>
  <c r="J6" i="11"/>
  <c r="L6" i="11"/>
  <c r="N6" i="11"/>
  <c r="J42" i="7"/>
  <c r="I42" i="7"/>
  <c r="K42" i="7"/>
  <c r="Q42" i="7"/>
  <c r="O42" i="7"/>
  <c r="P5" i="9"/>
  <c r="K5" i="9"/>
  <c r="O5" i="9"/>
  <c r="F5" i="9"/>
  <c r="L5" i="9"/>
  <c r="H5" i="9"/>
  <c r="N5" i="9"/>
  <c r="G5" i="9"/>
  <c r="J5" i="9"/>
  <c r="I5" i="9"/>
  <c r="F7" i="6"/>
  <c r="L7" i="6"/>
  <c r="J7" i="6"/>
  <c r="O7" i="6"/>
  <c r="G7" i="6"/>
  <c r="M7" i="6"/>
  <c r="P7" i="6"/>
  <c r="I7" i="6"/>
  <c r="G42" i="4"/>
  <c r="F42" i="4"/>
  <c r="O42" i="4"/>
  <c r="K42" i="4"/>
  <c r="J42" i="4"/>
  <c r="N42" i="4"/>
  <c r="K8" i="10"/>
  <c r="P8" i="10"/>
  <c r="N8" i="10"/>
  <c r="F8" i="10"/>
  <c r="L8" i="10"/>
  <c r="G8" i="10"/>
  <c r="Q8" i="10"/>
  <c r="O8" i="10"/>
  <c r="I8" i="10"/>
  <c r="K42" i="8"/>
  <c r="H42" i="8"/>
  <c r="M42" i="8"/>
  <c r="Q42" i="8"/>
  <c r="J42" i="8"/>
  <c r="G42" i="8"/>
  <c r="J5" i="4"/>
  <c r="L5" i="4"/>
  <c r="G5" i="4"/>
  <c r="Q5" i="4"/>
  <c r="K5" i="4"/>
  <c r="O5" i="4"/>
  <c r="M5" i="4"/>
  <c r="I5" i="4"/>
  <c r="P5" i="4"/>
  <c r="C8" i="11" l="1"/>
  <c r="C45" i="10"/>
  <c r="C44" i="11"/>
  <c r="C10" i="10"/>
  <c r="C44" i="9"/>
  <c r="C9" i="8"/>
  <c r="C44" i="8"/>
  <c r="C7" i="9"/>
  <c r="C43" i="6"/>
  <c r="C7" i="7"/>
  <c r="C9" i="6"/>
  <c r="C44" i="7"/>
  <c r="C8" i="5"/>
  <c r="C44" i="5"/>
  <c r="C7" i="4"/>
  <c r="C44" i="4"/>
  <c r="H43" i="10"/>
  <c r="L7" i="8"/>
  <c r="E43" i="7"/>
  <c r="E43" i="11"/>
  <c r="P43" i="11" s="1"/>
  <c r="E7" i="11"/>
  <c r="M43" i="7"/>
  <c r="K6" i="11"/>
  <c r="N43" i="11"/>
  <c r="G43" i="7"/>
  <c r="H8" i="10"/>
  <c r="M7" i="11"/>
  <c r="M43" i="11"/>
  <c r="E43" i="5"/>
  <c r="Q43" i="5" s="1"/>
  <c r="E6" i="4"/>
  <c r="Q5" i="9"/>
  <c r="E43" i="4"/>
  <c r="O43" i="7"/>
  <c r="K43" i="11"/>
  <c r="H5" i="4"/>
  <c r="F6" i="4"/>
  <c r="L43" i="7"/>
  <c r="F43" i="4"/>
  <c r="H41" i="6"/>
  <c r="J43" i="5"/>
  <c r="H7" i="6"/>
  <c r="E43" i="9"/>
  <c r="G43" i="5"/>
  <c r="I43" i="7"/>
  <c r="G43" i="4"/>
  <c r="E7" i="5"/>
  <c r="H5" i="7"/>
  <c r="H6" i="11"/>
  <c r="G6" i="4"/>
  <c r="N43" i="7"/>
  <c r="L43" i="5"/>
  <c r="O6" i="4"/>
  <c r="M43" i="5"/>
  <c r="P6" i="4"/>
  <c r="K43" i="4"/>
  <c r="M43" i="9"/>
  <c r="L43" i="4"/>
  <c r="E8" i="8"/>
  <c r="E6" i="7"/>
  <c r="P8" i="8"/>
  <c r="K43" i="9"/>
  <c r="I43" i="4"/>
  <c r="E44" i="10"/>
  <c r="E6" i="9"/>
  <c r="P43" i="5"/>
  <c r="G43" i="11"/>
  <c r="K6" i="4"/>
  <c r="O43" i="5"/>
  <c r="F5" i="4"/>
  <c r="I6" i="4"/>
  <c r="N43" i="4"/>
  <c r="H42" i="7"/>
  <c r="Q43" i="9"/>
  <c r="J43" i="4"/>
  <c r="I44" i="10"/>
  <c r="J6" i="7"/>
  <c r="P43" i="7"/>
  <c r="I7" i="11"/>
  <c r="H42" i="11"/>
  <c r="L7" i="5"/>
  <c r="F43" i="5"/>
  <c r="F43" i="9"/>
  <c r="Q43" i="7"/>
  <c r="P6" i="7"/>
  <c r="P44" i="10"/>
  <c r="O6" i="7"/>
  <c r="F43" i="7"/>
  <c r="P7" i="11"/>
  <c r="N7" i="5"/>
  <c r="H42" i="5"/>
  <c r="I6" i="9"/>
  <c r="K8" i="8"/>
  <c r="O44" i="10"/>
  <c r="F6" i="7"/>
  <c r="M43" i="4"/>
  <c r="O7" i="11"/>
  <c r="L43" i="11"/>
  <c r="J8" i="8"/>
  <c r="J43" i="9"/>
  <c r="G41" i="6"/>
  <c r="G8" i="8"/>
  <c r="H6" i="5"/>
  <c r="O8" i="8"/>
  <c r="F8" i="8"/>
  <c r="Q44" i="10"/>
  <c r="F42" i="7"/>
  <c r="F7" i="11"/>
  <c r="I43" i="11"/>
  <c r="G43" i="9"/>
  <c r="G6" i="7"/>
  <c r="F43" i="11"/>
  <c r="P43" i="4"/>
  <c r="J7" i="11"/>
  <c r="K42" i="11"/>
  <c r="L42" i="7"/>
  <c r="E9" i="10"/>
  <c r="G7" i="5"/>
  <c r="E8" i="6"/>
  <c r="E42" i="6"/>
  <c r="N43" i="5"/>
  <c r="N42" i="8"/>
  <c r="L6" i="9"/>
  <c r="N9" i="10"/>
  <c r="O43" i="9"/>
  <c r="I6" i="7"/>
  <c r="G42" i="6"/>
  <c r="J43" i="11"/>
  <c r="Q43" i="4"/>
  <c r="L7" i="11"/>
  <c r="K42" i="5"/>
  <c r="H42" i="4"/>
  <c r="G9" i="10"/>
  <c r="I7" i="5"/>
  <c r="Q9" i="10"/>
  <c r="K7" i="6"/>
  <c r="Q42" i="6"/>
  <c r="O43" i="4"/>
  <c r="I43" i="5"/>
  <c r="N43" i="9"/>
  <c r="O42" i="6"/>
  <c r="O6" i="9"/>
  <c r="K7" i="11"/>
  <c r="M7" i="5"/>
  <c r="H7" i="8"/>
  <c r="I8" i="6"/>
  <c r="L9" i="10"/>
  <c r="J8" i="10"/>
  <c r="K43" i="5"/>
  <c r="J6" i="4"/>
  <c r="M8" i="6"/>
  <c r="O43" i="11"/>
  <c r="G7" i="11"/>
  <c r="P7" i="5"/>
  <c r="M6" i="4"/>
  <c r="H6" i="9"/>
  <c r="E43" i="8"/>
  <c r="I43" i="9"/>
  <c r="J43" i="7"/>
  <c r="G43" i="8"/>
  <c r="N7" i="6"/>
  <c r="Q6" i="9"/>
  <c r="Q7" i="5"/>
  <c r="L43" i="9"/>
  <c r="L6" i="4"/>
  <c r="Q6" i="4"/>
  <c r="N6" i="4"/>
  <c r="P43" i="9"/>
  <c r="H43" i="9"/>
  <c r="O7" i="5"/>
  <c r="J7" i="5"/>
  <c r="K7" i="5"/>
  <c r="I8" i="8"/>
  <c r="M8" i="8"/>
  <c r="Q8" i="8"/>
  <c r="N8" i="8"/>
  <c r="L8" i="8"/>
  <c r="M6" i="7"/>
  <c r="N6" i="7"/>
  <c r="K6" i="7"/>
  <c r="L6" i="7"/>
  <c r="F44" i="10"/>
  <c r="G44" i="10"/>
  <c r="M44" i="10"/>
  <c r="L44" i="10"/>
  <c r="N44" i="10"/>
  <c r="K44" i="10"/>
  <c r="J44" i="10"/>
  <c r="M6" i="9"/>
  <c r="J6" i="9"/>
  <c r="P6" i="9"/>
  <c r="G6" i="9"/>
  <c r="N6" i="9"/>
  <c r="K6" i="9"/>
  <c r="I9" i="10"/>
  <c r="O9" i="10"/>
  <c r="M9" i="10"/>
  <c r="F9" i="10"/>
  <c r="K9" i="10"/>
  <c r="J9" i="10"/>
  <c r="P9" i="10"/>
  <c r="J8" i="6"/>
  <c r="H8" i="6"/>
  <c r="K8" i="6"/>
  <c r="L8" i="6"/>
  <c r="F8" i="6"/>
  <c r="Q8" i="6"/>
  <c r="P8" i="6"/>
  <c r="O8" i="6"/>
  <c r="N8" i="6"/>
  <c r="N42" i="6"/>
  <c r="I42" i="6"/>
  <c r="J42" i="6"/>
  <c r="K42" i="6"/>
  <c r="F42" i="6"/>
  <c r="L42" i="6"/>
  <c r="P42" i="6"/>
  <c r="M42" i="6"/>
  <c r="F43" i="8"/>
  <c r="M43" i="8"/>
  <c r="Q43" i="8"/>
  <c r="J43" i="8"/>
  <c r="L43" i="8"/>
  <c r="P43" i="8"/>
  <c r="N43" i="8"/>
  <c r="K43" i="8"/>
  <c r="O43" i="8"/>
  <c r="I43" i="8"/>
  <c r="C9" i="11" l="1"/>
  <c r="C45" i="11"/>
  <c r="C11" i="10"/>
  <c r="C46" i="10"/>
  <c r="C8" i="9"/>
  <c r="C45" i="8"/>
  <c r="C10" i="8"/>
  <c r="C45" i="9"/>
  <c r="C44" i="6"/>
  <c r="C8" i="7"/>
  <c r="C45" i="7"/>
  <c r="C10" i="6"/>
  <c r="C45" i="5"/>
  <c r="C9" i="5"/>
  <c r="C8" i="4"/>
  <c r="C45" i="4"/>
  <c r="G8" i="6"/>
  <c r="N7" i="11"/>
  <c r="E44" i="5"/>
  <c r="E9" i="6"/>
  <c r="G44" i="5"/>
  <c r="K43" i="7"/>
  <c r="H42" i="6"/>
  <c r="I44" i="5"/>
  <c r="H43" i="11"/>
  <c r="M44" i="5"/>
  <c r="H6" i="7"/>
  <c r="E44" i="7"/>
  <c r="E44" i="8"/>
  <c r="Q43" i="11"/>
  <c r="P44" i="7"/>
  <c r="O44" i="5"/>
  <c r="E7" i="9"/>
  <c r="F7" i="9"/>
  <c r="H43" i="7"/>
  <c r="E9" i="8"/>
  <c r="H43" i="8"/>
  <c r="Q6" i="7"/>
  <c r="N7" i="9"/>
  <c r="M9" i="6"/>
  <c r="E44" i="4"/>
  <c r="K44" i="7"/>
  <c r="E45" i="10"/>
  <c r="J7" i="9"/>
  <c r="H44" i="10"/>
  <c r="H8" i="8"/>
  <c r="O9" i="6"/>
  <c r="O7" i="9"/>
  <c r="P9" i="6"/>
  <c r="N44" i="8"/>
  <c r="F6" i="9"/>
  <c r="E8" i="11"/>
  <c r="E44" i="11"/>
  <c r="E7" i="7"/>
  <c r="J8" i="11"/>
  <c r="M7" i="7"/>
  <c r="I9" i="6"/>
  <c r="J44" i="8"/>
  <c r="K44" i="11"/>
  <c r="Q7" i="7"/>
  <c r="I7" i="9"/>
  <c r="Q44" i="11"/>
  <c r="O44" i="4"/>
  <c r="N44" i="4"/>
  <c r="Q44" i="4"/>
  <c r="H9" i="10"/>
  <c r="H43" i="4"/>
  <c r="J44" i="5"/>
  <c r="Q44" i="5"/>
  <c r="G44" i="8"/>
  <c r="Q44" i="8"/>
  <c r="M44" i="7"/>
  <c r="F45" i="10"/>
  <c r="Q9" i="6"/>
  <c r="F7" i="5"/>
  <c r="H43" i="5"/>
  <c r="G44" i="4"/>
  <c r="H7" i="11"/>
  <c r="J44" i="11"/>
  <c r="O9" i="8"/>
  <c r="H7" i="5"/>
  <c r="L44" i="4"/>
  <c r="I44" i="7"/>
  <c r="F8" i="11"/>
  <c r="G45" i="10"/>
  <c r="F9" i="6"/>
  <c r="E43" i="6"/>
  <c r="M44" i="8"/>
  <c r="I44" i="11"/>
  <c r="P44" i="11"/>
  <c r="H6" i="4"/>
  <c r="N9" i="8"/>
  <c r="F44" i="5"/>
  <c r="L44" i="7"/>
  <c r="Q44" i="7"/>
  <c r="L8" i="11"/>
  <c r="I45" i="10"/>
  <c r="N44" i="11"/>
  <c r="E7" i="4"/>
  <c r="K44" i="5"/>
  <c r="N7" i="7"/>
  <c r="P44" i="4"/>
  <c r="F44" i="7"/>
  <c r="M8" i="11"/>
  <c r="K45" i="10"/>
  <c r="E10" i="10"/>
  <c r="G44" i="7"/>
  <c r="E44" i="9"/>
  <c r="Q7" i="11"/>
  <c r="I44" i="4"/>
  <c r="L9" i="8"/>
  <c r="K8" i="11"/>
  <c r="N9" i="6"/>
  <c r="M44" i="4"/>
  <c r="E8" i="5"/>
  <c r="J44" i="4"/>
  <c r="F44" i="11"/>
  <c r="Q10" i="10"/>
  <c r="P9" i="8"/>
  <c r="N45" i="10"/>
  <c r="N44" i="5"/>
  <c r="L44" i="5"/>
  <c r="G9" i="6"/>
  <c r="J9" i="6"/>
  <c r="J44" i="7"/>
  <c r="N44" i="7"/>
  <c r="O44" i="7"/>
  <c r="O44" i="8"/>
  <c r="K44" i="8"/>
  <c r="Q7" i="9"/>
  <c r="M7" i="9"/>
  <c r="K7" i="9"/>
  <c r="L7" i="9"/>
  <c r="H7" i="9"/>
  <c r="P7" i="9"/>
  <c r="G7" i="9"/>
  <c r="F9" i="8"/>
  <c r="J9" i="8"/>
  <c r="G9" i="8"/>
  <c r="Q9" i="8"/>
  <c r="I9" i="8"/>
  <c r="M9" i="8"/>
  <c r="K9" i="8"/>
  <c r="K44" i="4"/>
  <c r="F44" i="4"/>
  <c r="M45" i="10"/>
  <c r="P45" i="10"/>
  <c r="O45" i="10"/>
  <c r="Q45" i="10"/>
  <c r="L45" i="10"/>
  <c r="P8" i="11"/>
  <c r="N8" i="11"/>
  <c r="G8" i="11"/>
  <c r="I8" i="11"/>
  <c r="O8" i="11"/>
  <c r="Q8" i="11"/>
  <c r="L44" i="11"/>
  <c r="M44" i="11"/>
  <c r="G44" i="11"/>
  <c r="O44" i="11"/>
  <c r="J7" i="7"/>
  <c r="L7" i="7"/>
  <c r="K7" i="7"/>
  <c r="F7" i="7"/>
  <c r="G7" i="7"/>
  <c r="I7" i="7"/>
  <c r="O7" i="7"/>
  <c r="P7" i="7"/>
  <c r="J43" i="6"/>
  <c r="N43" i="6"/>
  <c r="P43" i="6"/>
  <c r="Q43" i="6"/>
  <c r="F43" i="6"/>
  <c r="G43" i="6"/>
  <c r="K43" i="6"/>
  <c r="O43" i="6"/>
  <c r="I43" i="6"/>
  <c r="M43" i="6"/>
  <c r="L43" i="6"/>
  <c r="I7" i="4"/>
  <c r="O7" i="4"/>
  <c r="L7" i="4"/>
  <c r="J7" i="4"/>
  <c r="P7" i="4"/>
  <c r="G7" i="4"/>
  <c r="Q7" i="4"/>
  <c r="M7" i="4"/>
  <c r="N7" i="4"/>
  <c r="F7" i="4"/>
  <c r="G10" i="10"/>
  <c r="I10" i="10"/>
  <c r="O10" i="10"/>
  <c r="L10" i="10"/>
  <c r="J10" i="10"/>
  <c r="N10" i="10"/>
  <c r="F10" i="10"/>
  <c r="M10" i="10"/>
  <c r="K10" i="10"/>
  <c r="P10" i="10"/>
  <c r="J44" i="9"/>
  <c r="H44" i="9"/>
  <c r="N44" i="9"/>
  <c r="L44" i="9"/>
  <c r="F44" i="9"/>
  <c r="G44" i="9"/>
  <c r="Q44" i="9"/>
  <c r="M44" i="9"/>
  <c r="O44" i="9"/>
  <c r="I44" i="9"/>
  <c r="P44" i="9"/>
  <c r="K44" i="9"/>
  <c r="N8" i="5"/>
  <c r="G8" i="5"/>
  <c r="P8" i="5"/>
  <c r="M8" i="5"/>
  <c r="I8" i="5"/>
  <c r="J8" i="5"/>
  <c r="Q8" i="5"/>
  <c r="K8" i="5"/>
  <c r="F8" i="5"/>
  <c r="C12" i="10" l="1"/>
  <c r="C46" i="11"/>
  <c r="C10" i="11"/>
  <c r="C47" i="10"/>
  <c r="C46" i="9"/>
  <c r="C11" i="8"/>
  <c r="C46" i="8"/>
  <c r="C9" i="9"/>
  <c r="C11" i="6"/>
  <c r="C9" i="7"/>
  <c r="C46" i="7"/>
  <c r="C45" i="6"/>
  <c r="C10" i="5"/>
  <c r="C46" i="5"/>
  <c r="C9" i="4"/>
  <c r="C46" i="4"/>
  <c r="I44" i="8"/>
  <c r="P44" i="5"/>
  <c r="H44" i="11"/>
  <c r="H44" i="5"/>
  <c r="E9" i="5"/>
  <c r="E11" i="10"/>
  <c r="E8" i="9"/>
  <c r="P8" i="9"/>
  <c r="H44" i="8"/>
  <c r="E10" i="8"/>
  <c r="E10" i="6"/>
  <c r="J8" i="9"/>
  <c r="I9" i="5"/>
  <c r="L10" i="8"/>
  <c r="L9" i="5"/>
  <c r="M10" i="6"/>
  <c r="K9" i="6"/>
  <c r="F8" i="9"/>
  <c r="H8" i="5"/>
  <c r="E8" i="4"/>
  <c r="O8" i="9"/>
  <c r="L8" i="4"/>
  <c r="E44" i="6"/>
  <c r="P44" i="6" s="1"/>
  <c r="P8" i="4"/>
  <c r="I10" i="8"/>
  <c r="I8" i="4"/>
  <c r="N10" i="6"/>
  <c r="H44" i="6"/>
  <c r="H7" i="4"/>
  <c r="J45" i="10"/>
  <c r="L9" i="6"/>
  <c r="H44" i="4"/>
  <c r="E46" i="10"/>
  <c r="F8" i="4"/>
  <c r="G10" i="8"/>
  <c r="Q10" i="6"/>
  <c r="L44" i="6"/>
  <c r="L44" i="8"/>
  <c r="K10" i="8"/>
  <c r="Q9" i="5"/>
  <c r="M8" i="4"/>
  <c r="J46" i="10"/>
  <c r="O46" i="10"/>
  <c r="Q11" i="10"/>
  <c r="O8" i="4"/>
  <c r="M46" i="10"/>
  <c r="N44" i="6"/>
  <c r="L8" i="9"/>
  <c r="O11" i="10"/>
  <c r="N10" i="8"/>
  <c r="F46" i="10"/>
  <c r="L10" i="6"/>
  <c r="F9" i="5"/>
  <c r="J8" i="4"/>
  <c r="G46" i="10"/>
  <c r="H44" i="7"/>
  <c r="H7" i="7"/>
  <c r="H9" i="8"/>
  <c r="M8" i="9"/>
  <c r="P10" i="8"/>
  <c r="K10" i="6"/>
  <c r="G44" i="6"/>
  <c r="L8" i="5"/>
  <c r="H9" i="6"/>
  <c r="J10" i="8"/>
  <c r="I10" i="6"/>
  <c r="P44" i="8"/>
  <c r="G10" i="6"/>
  <c r="L46" i="10"/>
  <c r="P10" i="6"/>
  <c r="P11" i="10"/>
  <c r="M44" i="6"/>
  <c r="E45" i="9"/>
  <c r="E45" i="7"/>
  <c r="K7" i="4"/>
  <c r="H45" i="10"/>
  <c r="O8" i="5"/>
  <c r="J9" i="5"/>
  <c r="F11" i="10"/>
  <c r="F10" i="6"/>
  <c r="M10" i="8"/>
  <c r="K44" i="6"/>
  <c r="Q10" i="8"/>
  <c r="N11" i="10"/>
  <c r="N46" i="10"/>
  <c r="J44" i="6"/>
  <c r="F44" i="8"/>
  <c r="P45" i="7"/>
  <c r="K8" i="9"/>
  <c r="H10" i="10"/>
  <c r="F10" i="8"/>
  <c r="O45" i="7"/>
  <c r="I45" i="7"/>
  <c r="P9" i="5"/>
  <c r="O10" i="8"/>
  <c r="L11" i="10"/>
  <c r="O45" i="9"/>
  <c r="I44" i="6"/>
  <c r="E45" i="8"/>
  <c r="Q45" i="8"/>
  <c r="E45" i="5"/>
  <c r="N8" i="4"/>
  <c r="E45" i="11"/>
  <c r="I46" i="10"/>
  <c r="I45" i="5"/>
  <c r="G45" i="11"/>
  <c r="O44" i="6"/>
  <c r="H43" i="6"/>
  <c r="K45" i="5"/>
  <c r="M45" i="5"/>
  <c r="G45" i="7"/>
  <c r="F44" i="6"/>
  <c r="N9" i="5"/>
  <c r="L45" i="5"/>
  <c r="L45" i="11"/>
  <c r="E8" i="7"/>
  <c r="E9" i="11"/>
  <c r="K8" i="4"/>
  <c r="Q44" i="6"/>
  <c r="N45" i="5"/>
  <c r="Q46" i="10"/>
  <c r="M45" i="11"/>
  <c r="E45" i="4"/>
  <c r="Q8" i="9"/>
  <c r="H8" i="11"/>
  <c r="N45" i="8"/>
  <c r="K11" i="10"/>
  <c r="K9" i="5"/>
  <c r="G45" i="9"/>
  <c r="O9" i="5"/>
  <c r="M9" i="5"/>
  <c r="I11" i="10"/>
  <c r="M11" i="10"/>
  <c r="J11" i="10"/>
  <c r="G11" i="10"/>
  <c r="H8" i="9"/>
  <c r="G8" i="9"/>
  <c r="I8" i="9"/>
  <c r="H10" i="6"/>
  <c r="J10" i="6"/>
  <c r="Q8" i="4"/>
  <c r="G8" i="4"/>
  <c r="P46" i="10"/>
  <c r="K46" i="10"/>
  <c r="M45" i="9"/>
  <c r="Q45" i="9"/>
  <c r="I45" i="9"/>
  <c r="P45" i="9"/>
  <c r="K45" i="9"/>
  <c r="H45" i="9"/>
  <c r="N45" i="9"/>
  <c r="F45" i="9"/>
  <c r="J45" i="9"/>
  <c r="L45" i="9"/>
  <c r="F45" i="7"/>
  <c r="Q45" i="7"/>
  <c r="N45" i="7"/>
  <c r="M45" i="7"/>
  <c r="H45" i="7"/>
  <c r="K45" i="7"/>
  <c r="J45" i="7"/>
  <c r="M45" i="8"/>
  <c r="L45" i="8"/>
  <c r="G45" i="8"/>
  <c r="P45" i="8"/>
  <c r="K45" i="8"/>
  <c r="F45" i="8"/>
  <c r="O45" i="8"/>
  <c r="J45" i="8"/>
  <c r="I45" i="8"/>
  <c r="Q45" i="5"/>
  <c r="G45" i="5"/>
  <c r="F45" i="5"/>
  <c r="J45" i="5"/>
  <c r="O45" i="5"/>
  <c r="O45" i="11"/>
  <c r="Q45" i="11"/>
  <c r="I45" i="11"/>
  <c r="F45" i="11"/>
  <c r="K45" i="11"/>
  <c r="N45" i="11"/>
  <c r="P45" i="11"/>
  <c r="J45" i="11"/>
  <c r="M8" i="7"/>
  <c r="O8" i="7"/>
  <c r="Q8" i="7"/>
  <c r="G8" i="7"/>
  <c r="L8" i="7"/>
  <c r="J8" i="7"/>
  <c r="P8" i="7"/>
  <c r="F8" i="7"/>
  <c r="N8" i="7"/>
  <c r="I8" i="7"/>
  <c r="K8" i="7"/>
  <c r="J9" i="11"/>
  <c r="N9" i="11"/>
  <c r="L9" i="11"/>
  <c r="M9" i="11"/>
  <c r="G9" i="11"/>
  <c r="P9" i="11"/>
  <c r="K9" i="11"/>
  <c r="Q9" i="11"/>
  <c r="F9" i="11"/>
  <c r="Q45" i="4"/>
  <c r="P45" i="4"/>
  <c r="I45" i="4"/>
  <c r="N45" i="4"/>
  <c r="L45" i="4"/>
  <c r="M45" i="4"/>
  <c r="K45" i="4"/>
  <c r="F45" i="4"/>
  <c r="G45" i="4"/>
  <c r="J45" i="4"/>
  <c r="C48" i="10" l="1"/>
  <c r="C13" i="10"/>
  <c r="C11" i="11"/>
  <c r="C47" i="11"/>
  <c r="C47" i="9"/>
  <c r="C47" i="8"/>
  <c r="C10" i="9"/>
  <c r="C12" i="8"/>
  <c r="C12" i="6"/>
  <c r="C46" i="6"/>
  <c r="C47" i="7"/>
  <c r="C10" i="7"/>
  <c r="C11" i="5"/>
  <c r="C47" i="5"/>
  <c r="C10" i="4"/>
  <c r="C47" i="4"/>
  <c r="H45" i="8"/>
  <c r="E46" i="11"/>
  <c r="J46" i="11" s="1"/>
  <c r="F46" i="11"/>
  <c r="H11" i="10"/>
  <c r="H45" i="11"/>
  <c r="E46" i="5"/>
  <c r="P46" i="11"/>
  <c r="H45" i="4"/>
  <c r="E9" i="9"/>
  <c r="E9" i="7"/>
  <c r="J9" i="7" s="1"/>
  <c r="E10" i="5"/>
  <c r="L9" i="9"/>
  <c r="G46" i="11"/>
  <c r="K10" i="5"/>
  <c r="H8" i="7"/>
  <c r="Q9" i="9"/>
  <c r="L46" i="11"/>
  <c r="E46" i="8"/>
  <c r="G46" i="8" s="1"/>
  <c r="N46" i="11"/>
  <c r="K46" i="8"/>
  <c r="J9" i="9"/>
  <c r="M9" i="9"/>
  <c r="O46" i="11"/>
  <c r="L10" i="5"/>
  <c r="H8" i="4"/>
  <c r="N46" i="8"/>
  <c r="M46" i="8"/>
  <c r="G9" i="9"/>
  <c r="E9" i="4"/>
  <c r="Q9" i="7"/>
  <c r="O9" i="11"/>
  <c r="O9" i="9"/>
  <c r="G46" i="5"/>
  <c r="G10" i="5"/>
  <c r="O46" i="8"/>
  <c r="I9" i="9"/>
  <c r="Q46" i="5"/>
  <c r="M10" i="5"/>
  <c r="O10" i="6"/>
  <c r="G9" i="5"/>
  <c r="L9" i="4"/>
  <c r="O45" i="4"/>
  <c r="F9" i="9"/>
  <c r="F46" i="5"/>
  <c r="I10" i="5"/>
  <c r="E45" i="6"/>
  <c r="P9" i="7"/>
  <c r="Q46" i="8"/>
  <c r="E11" i="8"/>
  <c r="J11" i="8"/>
  <c r="F46" i="8"/>
  <c r="H10" i="8"/>
  <c r="H45" i="6"/>
  <c r="K9" i="4"/>
  <c r="P11" i="8"/>
  <c r="J46" i="8"/>
  <c r="G11" i="8"/>
  <c r="P46" i="5"/>
  <c r="J9" i="4"/>
  <c r="E46" i="7"/>
  <c r="Q46" i="7"/>
  <c r="E47" i="10"/>
  <c r="N9" i="7"/>
  <c r="H9" i="5"/>
  <c r="I9" i="11"/>
  <c r="L45" i="6"/>
  <c r="L11" i="8"/>
  <c r="F9" i="7"/>
  <c r="K46" i="5"/>
  <c r="F10" i="5"/>
  <c r="L45" i="7"/>
  <c r="G46" i="7"/>
  <c r="F46" i="7"/>
  <c r="N45" i="6"/>
  <c r="L46" i="8"/>
  <c r="G45" i="6"/>
  <c r="H9" i="11"/>
  <c r="H46" i="10"/>
  <c r="I9" i="7"/>
  <c r="Q11" i="8"/>
  <c r="K9" i="7"/>
  <c r="I46" i="5"/>
  <c r="H45" i="5"/>
  <c r="K46" i="7"/>
  <c r="F11" i="8"/>
  <c r="O9" i="7"/>
  <c r="M46" i="11"/>
  <c r="I46" i="8"/>
  <c r="G9" i="7"/>
  <c r="P10" i="5"/>
  <c r="E46" i="4"/>
  <c r="K46" i="11"/>
  <c r="P9" i="9"/>
  <c r="H9" i="9"/>
  <c r="Q46" i="11"/>
  <c r="J46" i="5"/>
  <c r="P45" i="5"/>
  <c r="E11" i="6"/>
  <c r="E12" i="10"/>
  <c r="L47" i="10"/>
  <c r="N8" i="9"/>
  <c r="Q46" i="4"/>
  <c r="L9" i="7"/>
  <c r="Q12" i="10"/>
  <c r="J10" i="5"/>
  <c r="E10" i="11"/>
  <c r="N10" i="11"/>
  <c r="M9" i="7"/>
  <c r="E46" i="9"/>
  <c r="L11" i="6"/>
  <c r="O46" i="9"/>
  <c r="N46" i="5"/>
  <c r="L46" i="5"/>
  <c r="O46" i="5"/>
  <c r="Q10" i="5"/>
  <c r="N10" i="5"/>
  <c r="O10" i="5"/>
  <c r="I9" i="4"/>
  <c r="P9" i="4"/>
  <c r="N9" i="4"/>
  <c r="Q9" i="4"/>
  <c r="O9" i="4"/>
  <c r="M9" i="4"/>
  <c r="G9" i="4"/>
  <c r="M45" i="6"/>
  <c r="J45" i="6"/>
  <c r="I45" i="6"/>
  <c r="Q45" i="6"/>
  <c r="O45" i="6"/>
  <c r="F45" i="6"/>
  <c r="K45" i="6"/>
  <c r="I11" i="8"/>
  <c r="K11" i="8"/>
  <c r="N11" i="8"/>
  <c r="O11" i="8"/>
  <c r="M11" i="8"/>
  <c r="L46" i="7"/>
  <c r="P46" i="7"/>
  <c r="I46" i="7"/>
  <c r="N46" i="7"/>
  <c r="M46" i="7"/>
  <c r="P47" i="10"/>
  <c r="O47" i="10"/>
  <c r="M47" i="10"/>
  <c r="J47" i="10"/>
  <c r="K47" i="10"/>
  <c r="I47" i="10"/>
  <c r="F47" i="10"/>
  <c r="N46" i="4"/>
  <c r="K46" i="4"/>
  <c r="M46" i="4"/>
  <c r="J46" i="4"/>
  <c r="L46" i="4"/>
  <c r="P46" i="4"/>
  <c r="I46" i="4"/>
  <c r="F46" i="4"/>
  <c r="G46" i="4"/>
  <c r="O46" i="4"/>
  <c r="P11" i="6"/>
  <c r="G11" i="6"/>
  <c r="Q11" i="6"/>
  <c r="K11" i="6"/>
  <c r="J11" i="6"/>
  <c r="I11" i="6"/>
  <c r="O11" i="6"/>
  <c r="F11" i="6"/>
  <c r="N11" i="6"/>
  <c r="G12" i="10"/>
  <c r="K12" i="10"/>
  <c r="L12" i="10"/>
  <c r="I12" i="10"/>
  <c r="M12" i="10"/>
  <c r="N12" i="10"/>
  <c r="P12" i="10"/>
  <c r="F12" i="10"/>
  <c r="J12" i="10"/>
  <c r="O12" i="10"/>
  <c r="K10" i="11"/>
  <c r="O10" i="11"/>
  <c r="F10" i="11"/>
  <c r="I10" i="11"/>
  <c r="Q10" i="11"/>
  <c r="P10" i="11"/>
  <c r="L10" i="11"/>
  <c r="M10" i="11"/>
  <c r="J10" i="11"/>
  <c r="G10" i="11"/>
  <c r="P46" i="9"/>
  <c r="L46" i="9"/>
  <c r="M46" i="9"/>
  <c r="K46" i="9"/>
  <c r="J46" i="9"/>
  <c r="Q46" i="9"/>
  <c r="F46" i="9"/>
  <c r="G46" i="9"/>
  <c r="H46" i="9"/>
  <c r="N46" i="9"/>
  <c r="C49" i="10" l="1"/>
  <c r="C48" i="11"/>
  <c r="C12" i="11"/>
  <c r="C14" i="10"/>
  <c r="C48" i="9"/>
  <c r="C11" i="9"/>
  <c r="C13" i="8"/>
  <c r="C48" i="8"/>
  <c r="C48" i="7"/>
  <c r="C47" i="6"/>
  <c r="C11" i="7"/>
  <c r="C13" i="6"/>
  <c r="C48" i="5"/>
  <c r="C12" i="5"/>
  <c r="C11" i="4"/>
  <c r="C48" i="4"/>
  <c r="E47" i="9"/>
  <c r="E10" i="4"/>
  <c r="G47" i="10"/>
  <c r="M11" i="6"/>
  <c r="N47" i="9"/>
  <c r="P46" i="8"/>
  <c r="I10" i="4"/>
  <c r="H12" i="10"/>
  <c r="F47" i="9"/>
  <c r="H9" i="7"/>
  <c r="Q47" i="10"/>
  <c r="P10" i="4"/>
  <c r="H10" i="5"/>
  <c r="O10" i="4"/>
  <c r="E10" i="9"/>
  <c r="H47" i="9"/>
  <c r="Q10" i="9"/>
  <c r="P45" i="6"/>
  <c r="E11" i="5"/>
  <c r="N9" i="9"/>
  <c r="K47" i="9"/>
  <c r="H9" i="4"/>
  <c r="O47" i="9"/>
  <c r="E47" i="11"/>
  <c r="K47" i="11" s="1"/>
  <c r="H11" i="8"/>
  <c r="F11" i="5"/>
  <c r="L47" i="9"/>
  <c r="H10" i="9"/>
  <c r="F47" i="11"/>
  <c r="E10" i="7"/>
  <c r="H46" i="7"/>
  <c r="G10" i="4"/>
  <c r="H11" i="6"/>
  <c r="E48" i="10"/>
  <c r="O10" i="9"/>
  <c r="H46" i="8"/>
  <c r="E12" i="6"/>
  <c r="E47" i="7"/>
  <c r="E12" i="8"/>
  <c r="J10" i="4"/>
  <c r="M47" i="11"/>
  <c r="P12" i="8"/>
  <c r="O10" i="7"/>
  <c r="I12" i="6"/>
  <c r="H46" i="5"/>
  <c r="E47" i="4"/>
  <c r="G48" i="10"/>
  <c r="K47" i="4"/>
  <c r="L47" i="11"/>
  <c r="J48" i="10"/>
  <c r="L10" i="7"/>
  <c r="E47" i="5"/>
  <c r="P47" i="11"/>
  <c r="L47" i="7"/>
  <c r="H46" i="4"/>
  <c r="G10" i="7"/>
  <c r="K11" i="5"/>
  <c r="O47" i="11"/>
  <c r="G47" i="5"/>
  <c r="I10" i="7"/>
  <c r="E47" i="8"/>
  <c r="J11" i="5"/>
  <c r="Q47" i="7"/>
  <c r="N10" i="9"/>
  <c r="O48" i="10"/>
  <c r="E13" i="10"/>
  <c r="P11" i="5"/>
  <c r="F10" i="4"/>
  <c r="M47" i="9"/>
  <c r="O11" i="5"/>
  <c r="F47" i="7"/>
  <c r="G10" i="9"/>
  <c r="N12" i="8"/>
  <c r="H10" i="11"/>
  <c r="Q13" i="10"/>
  <c r="N12" i="6"/>
  <c r="J47" i="5"/>
  <c r="Q11" i="5"/>
  <c r="N47" i="4"/>
  <c r="M48" i="10"/>
  <c r="I47" i="7"/>
  <c r="F10" i="9"/>
  <c r="G12" i="8"/>
  <c r="Q10" i="4"/>
  <c r="J10" i="7"/>
  <c r="E46" i="6"/>
  <c r="O46" i="6"/>
  <c r="L46" i="6"/>
  <c r="K12" i="6"/>
  <c r="K47" i="7"/>
  <c r="P10" i="7"/>
  <c r="N47" i="10"/>
  <c r="L47" i="4"/>
  <c r="G12" i="6"/>
  <c r="G47" i="7"/>
  <c r="Q47" i="4"/>
  <c r="K10" i="9"/>
  <c r="I47" i="11"/>
  <c r="F47" i="5"/>
  <c r="N48" i="10"/>
  <c r="J46" i="7"/>
  <c r="K10" i="4"/>
  <c r="I46" i="9"/>
  <c r="E11" i="11"/>
  <c r="P13" i="10"/>
  <c r="P46" i="6"/>
  <c r="N47" i="7"/>
  <c r="J47" i="9"/>
  <c r="L12" i="6"/>
  <c r="I11" i="11"/>
  <c r="N47" i="8"/>
  <c r="O47" i="4"/>
  <c r="P10" i="9"/>
  <c r="G47" i="11"/>
  <c r="I47" i="5"/>
  <c r="P48" i="10"/>
  <c r="H47" i="10"/>
  <c r="K10" i="7"/>
  <c r="F13" i="10"/>
  <c r="M46" i="5"/>
  <c r="L10" i="4"/>
  <c r="L47" i="8"/>
  <c r="I11" i="5"/>
  <c r="Q12" i="6"/>
  <c r="L11" i="11"/>
  <c r="G47" i="4"/>
  <c r="Q12" i="8"/>
  <c r="L48" i="10"/>
  <c r="K13" i="10"/>
  <c r="M12" i="6"/>
  <c r="H46" i="11"/>
  <c r="P47" i="4"/>
  <c r="P12" i="6"/>
  <c r="F11" i="11"/>
  <c r="M47" i="4"/>
  <c r="O12" i="8"/>
  <c r="Q48" i="10"/>
  <c r="G46" i="6"/>
  <c r="K9" i="9"/>
  <c r="K11" i="11"/>
  <c r="K47" i="5"/>
  <c r="G47" i="9"/>
  <c r="J47" i="8"/>
  <c r="L10" i="9"/>
  <c r="P47" i="5"/>
  <c r="I46" i="11"/>
  <c r="N10" i="4"/>
  <c r="F9" i="4"/>
  <c r="O46" i="7"/>
  <c r="N46" i="6"/>
  <c r="Q47" i="11"/>
  <c r="O47" i="5"/>
  <c r="J10" i="9"/>
  <c r="M10" i="9"/>
  <c r="N11" i="5"/>
  <c r="L11" i="5"/>
  <c r="M11" i="5"/>
  <c r="F10" i="7"/>
  <c r="N10" i="7"/>
  <c r="M10" i="7"/>
  <c r="K48" i="10"/>
  <c r="F48" i="10"/>
  <c r="I48" i="10"/>
  <c r="F12" i="6"/>
  <c r="O12" i="6"/>
  <c r="J12" i="6"/>
  <c r="P47" i="7"/>
  <c r="J47" i="7"/>
  <c r="M47" i="7"/>
  <c r="K12" i="8"/>
  <c r="I12" i="8"/>
  <c r="J12" i="8"/>
  <c r="F12" i="8"/>
  <c r="L12" i="8"/>
  <c r="J47" i="4"/>
  <c r="F47" i="4"/>
  <c r="I47" i="4"/>
  <c r="L47" i="5"/>
  <c r="M47" i="5"/>
  <c r="Q47" i="5"/>
  <c r="N47" i="5"/>
  <c r="G47" i="8"/>
  <c r="O47" i="8"/>
  <c r="F47" i="8"/>
  <c r="K47" i="8"/>
  <c r="M47" i="8"/>
  <c r="I47" i="8"/>
  <c r="Q47" i="8"/>
  <c r="P47" i="8"/>
  <c r="J13" i="10"/>
  <c r="L13" i="10"/>
  <c r="G13" i="10"/>
  <c r="I13" i="10"/>
  <c r="N13" i="10"/>
  <c r="O13" i="10"/>
  <c r="M46" i="6"/>
  <c r="I46" i="6"/>
  <c r="J46" i="6"/>
  <c r="K46" i="6"/>
  <c r="O11" i="11"/>
  <c r="M11" i="11"/>
  <c r="N11" i="11"/>
  <c r="G11" i="11"/>
  <c r="Q11" i="11"/>
  <c r="P11" i="11"/>
  <c r="C15" i="10" l="1"/>
  <c r="C50" i="10"/>
  <c r="C13" i="11"/>
  <c r="C49" i="11"/>
  <c r="C49" i="9"/>
  <c r="C14" i="8"/>
  <c r="C12" i="9"/>
  <c r="C49" i="8"/>
  <c r="C49" i="7"/>
  <c r="C48" i="6"/>
  <c r="C14" i="6"/>
  <c r="C12" i="7"/>
  <c r="C13" i="5"/>
  <c r="C49" i="5"/>
  <c r="C12" i="4"/>
  <c r="C49" i="4"/>
  <c r="M13" i="10"/>
  <c r="E12" i="5"/>
  <c r="H13" i="10"/>
  <c r="N12" i="5"/>
  <c r="O12" i="5"/>
  <c r="H48" i="10"/>
  <c r="Q10" i="7"/>
  <c r="E48" i="9"/>
  <c r="L48" i="9" s="1"/>
  <c r="I48" i="9"/>
  <c r="K48" i="9"/>
  <c r="E48" i="8"/>
  <c r="H47" i="5"/>
  <c r="M12" i="5"/>
  <c r="E14" i="10"/>
  <c r="L14" i="10" s="1"/>
  <c r="E48" i="4"/>
  <c r="P47" i="9"/>
  <c r="O14" i="10"/>
  <c r="E49" i="10"/>
  <c r="H47" i="8"/>
  <c r="P48" i="9"/>
  <c r="G49" i="10"/>
  <c r="J48" i="4"/>
  <c r="P12" i="5"/>
  <c r="O48" i="4"/>
  <c r="G48" i="8"/>
  <c r="E13" i="6"/>
  <c r="E13" i="8"/>
  <c r="N13" i="6"/>
  <c r="O48" i="8"/>
  <c r="G12" i="5"/>
  <c r="H12" i="8"/>
  <c r="E48" i="5"/>
  <c r="M12" i="8"/>
  <c r="Q48" i="4"/>
  <c r="E11" i="9"/>
  <c r="I13" i="6"/>
  <c r="I12" i="5"/>
  <c r="N48" i="9"/>
  <c r="L48" i="8"/>
  <c r="K13" i="8"/>
  <c r="G11" i="9"/>
  <c r="M14" i="10"/>
  <c r="H47" i="11"/>
  <c r="E12" i="11"/>
  <c r="G48" i="9"/>
  <c r="H12" i="6"/>
  <c r="Q48" i="9"/>
  <c r="O11" i="9"/>
  <c r="O47" i="7"/>
  <c r="J48" i="5"/>
  <c r="H48" i="9"/>
  <c r="Q48" i="8"/>
  <c r="L13" i="8"/>
  <c r="N11" i="9"/>
  <c r="G14" i="10"/>
  <c r="I47" i="9"/>
  <c r="J12" i="5"/>
  <c r="L49" i="10"/>
  <c r="H47" i="4"/>
  <c r="I13" i="8"/>
  <c r="M48" i="8"/>
  <c r="H10" i="7"/>
  <c r="H11" i="11"/>
  <c r="G13" i="6"/>
  <c r="J13" i="8"/>
  <c r="J12" i="11"/>
  <c r="I49" i="10"/>
  <c r="F48" i="4"/>
  <c r="J13" i="6"/>
  <c r="H11" i="5"/>
  <c r="N49" i="10"/>
  <c r="K48" i="8"/>
  <c r="Q47" i="9"/>
  <c r="I48" i="8"/>
  <c r="M11" i="9"/>
  <c r="I14" i="10"/>
  <c r="E47" i="6"/>
  <c r="O47" i="6"/>
  <c r="O48" i="9"/>
  <c r="Q13" i="6"/>
  <c r="L48" i="5"/>
  <c r="K11" i="9"/>
  <c r="N14" i="10"/>
  <c r="H47" i="7"/>
  <c r="F48" i="9"/>
  <c r="J47" i="11"/>
  <c r="P13" i="6"/>
  <c r="M12" i="11"/>
  <c r="M13" i="6"/>
  <c r="L13" i="6"/>
  <c r="I47" i="6"/>
  <c r="F47" i="6"/>
  <c r="Q47" i="6"/>
  <c r="N48" i="8"/>
  <c r="Q48" i="5"/>
  <c r="P11" i="9"/>
  <c r="J14" i="10"/>
  <c r="K14" i="10"/>
  <c r="J11" i="11"/>
  <c r="K13" i="6"/>
  <c r="J48" i="9"/>
  <c r="G11" i="5"/>
  <c r="N12" i="11"/>
  <c r="N47" i="6"/>
  <c r="G48" i="4"/>
  <c r="M48" i="9"/>
  <c r="I48" i="4"/>
  <c r="K48" i="5"/>
  <c r="P48" i="4"/>
  <c r="L48" i="4"/>
  <c r="P49" i="10"/>
  <c r="H46" i="6"/>
  <c r="G13" i="8"/>
  <c r="F14" i="10"/>
  <c r="E11" i="7"/>
  <c r="F46" i="6"/>
  <c r="N47" i="11"/>
  <c r="J47" i="6"/>
  <c r="K12" i="5"/>
  <c r="E48" i="11"/>
  <c r="G12" i="11"/>
  <c r="G47" i="6"/>
  <c r="M49" i="10"/>
  <c r="J11" i="9"/>
  <c r="Q46" i="6"/>
  <c r="E48" i="7"/>
  <c r="P48" i="8"/>
  <c r="O48" i="5"/>
  <c r="I11" i="7"/>
  <c r="H11" i="9"/>
  <c r="J48" i="7"/>
  <c r="M10" i="4"/>
  <c r="J49" i="10"/>
  <c r="O49" i="10"/>
  <c r="P13" i="8"/>
  <c r="K11" i="7"/>
  <c r="P47" i="6"/>
  <c r="Q12" i="5"/>
  <c r="H10" i="4"/>
  <c r="K48" i="4"/>
  <c r="O11" i="7"/>
  <c r="P14" i="10"/>
  <c r="F49" i="10"/>
  <c r="P12" i="11"/>
  <c r="P48" i="5"/>
  <c r="L48" i="11"/>
  <c r="E11" i="4"/>
  <c r="I10" i="9"/>
  <c r="K49" i="10"/>
  <c r="F13" i="8"/>
  <c r="Q14" i="10"/>
  <c r="F48" i="8"/>
  <c r="J48" i="8"/>
  <c r="O13" i="6"/>
  <c r="F13" i="6"/>
  <c r="O13" i="8"/>
  <c r="N13" i="8"/>
  <c r="Q13" i="8"/>
  <c r="N48" i="5"/>
  <c r="F48" i="5"/>
  <c r="M48" i="5"/>
  <c r="I48" i="5"/>
  <c r="I11" i="9"/>
  <c r="L11" i="9"/>
  <c r="Q11" i="9"/>
  <c r="I12" i="11"/>
  <c r="O12" i="11"/>
  <c r="K12" i="11"/>
  <c r="Q12" i="11"/>
  <c r="L12" i="11"/>
  <c r="F12" i="11"/>
  <c r="M47" i="6"/>
  <c r="K47" i="6"/>
  <c r="P11" i="7"/>
  <c r="G11" i="7"/>
  <c r="M11" i="7"/>
  <c r="N11" i="7"/>
  <c r="F11" i="7"/>
  <c r="Q11" i="7"/>
  <c r="L11" i="7"/>
  <c r="F48" i="11"/>
  <c r="I48" i="11"/>
  <c r="N48" i="11"/>
  <c r="M48" i="11"/>
  <c r="G48" i="11"/>
  <c r="J48" i="11"/>
  <c r="Q48" i="11"/>
  <c r="O48" i="11"/>
  <c r="K48" i="11"/>
  <c r="O48" i="7"/>
  <c r="I48" i="7"/>
  <c r="P48" i="7"/>
  <c r="M48" i="7"/>
  <c r="F48" i="7"/>
  <c r="L48" i="7"/>
  <c r="N48" i="7"/>
  <c r="K48" i="7"/>
  <c r="H48" i="7"/>
  <c r="Q48" i="7"/>
  <c r="G48" i="7"/>
  <c r="G11" i="4"/>
  <c r="J11" i="4"/>
  <c r="I11" i="4"/>
  <c r="M11" i="4"/>
  <c r="P11" i="4"/>
  <c r="L11" i="4"/>
  <c r="K11" i="4"/>
  <c r="O11" i="4"/>
  <c r="N11" i="4"/>
  <c r="F11" i="4"/>
  <c r="Q11" i="4"/>
  <c r="C16" i="10" l="1"/>
  <c r="C50" i="11"/>
  <c r="C14" i="11"/>
  <c r="C51" i="10"/>
  <c r="C13" i="9"/>
  <c r="C50" i="8"/>
  <c r="C15" i="8"/>
  <c r="C50" i="9"/>
  <c r="C15" i="6"/>
  <c r="C13" i="7"/>
  <c r="C49" i="6"/>
  <c r="C50" i="7"/>
  <c r="C50" i="5"/>
  <c r="C14" i="5"/>
  <c r="C13" i="4"/>
  <c r="C50" i="4"/>
  <c r="E12" i="9"/>
  <c r="I12" i="9"/>
  <c r="E49" i="11"/>
  <c r="P49" i="11" s="1"/>
  <c r="M12" i="9"/>
  <c r="H48" i="8"/>
  <c r="E13" i="5"/>
  <c r="I49" i="11"/>
  <c r="E13" i="11"/>
  <c r="P13" i="11" s="1"/>
  <c r="E50" i="10"/>
  <c r="G50" i="10" s="1"/>
  <c r="E14" i="8"/>
  <c r="N48" i="4"/>
  <c r="N14" i="8"/>
  <c r="Q14" i="8"/>
  <c r="E49" i="7"/>
  <c r="P12" i="9"/>
  <c r="Q13" i="11"/>
  <c r="G12" i="9"/>
  <c r="Q49" i="7"/>
  <c r="F50" i="10"/>
  <c r="K14" i="8"/>
  <c r="P50" i="10"/>
  <c r="P48" i="11"/>
  <c r="N12" i="9"/>
  <c r="M50" i="10"/>
  <c r="H48" i="5"/>
  <c r="N13" i="11"/>
  <c r="O12" i="9"/>
  <c r="K49" i="7"/>
  <c r="J50" i="10"/>
  <c r="H12" i="11"/>
  <c r="I14" i="8"/>
  <c r="J12" i="9"/>
  <c r="P49" i="7"/>
  <c r="M13" i="11"/>
  <c r="L12" i="9"/>
  <c r="I49" i="7"/>
  <c r="E12" i="7"/>
  <c r="N50" i="10"/>
  <c r="G48" i="5"/>
  <c r="H14" i="10"/>
  <c r="N12" i="7"/>
  <c r="N13" i="5"/>
  <c r="F11" i="9"/>
  <c r="K12" i="9"/>
  <c r="Q49" i="11"/>
  <c r="E14" i="6"/>
  <c r="F13" i="11"/>
  <c r="L49" i="11"/>
  <c r="F49" i="7"/>
  <c r="I14" i="6"/>
  <c r="P14" i="6"/>
  <c r="Q50" i="10"/>
  <c r="F12" i="7"/>
  <c r="G13" i="11"/>
  <c r="J14" i="6"/>
  <c r="E49" i="8"/>
  <c r="Q12" i="7"/>
  <c r="M49" i="8"/>
  <c r="E49" i="9"/>
  <c r="P13" i="5"/>
  <c r="M13" i="8"/>
  <c r="K13" i="11"/>
  <c r="G49" i="9"/>
  <c r="G49" i="11"/>
  <c r="N49" i="7"/>
  <c r="G14" i="6"/>
  <c r="F49" i="9"/>
  <c r="H12" i="5"/>
  <c r="H48" i="11"/>
  <c r="J49" i="11"/>
  <c r="E15" i="10"/>
  <c r="L50" i="10"/>
  <c r="F12" i="9"/>
  <c r="O13" i="11"/>
  <c r="K49" i="11"/>
  <c r="H13" i="8"/>
  <c r="G49" i="8"/>
  <c r="N49" i="11"/>
  <c r="Q12" i="9"/>
  <c r="E49" i="5"/>
  <c r="E48" i="6"/>
  <c r="E49" i="4"/>
  <c r="P14" i="8"/>
  <c r="L47" i="6"/>
  <c r="O50" i="10"/>
  <c r="H11" i="4"/>
  <c r="H48" i="4"/>
  <c r="M48" i="6"/>
  <c r="H49" i="10"/>
  <c r="L14" i="8"/>
  <c r="K49" i="4"/>
  <c r="I13" i="11"/>
  <c r="L13" i="5"/>
  <c r="F49" i="11"/>
  <c r="M49" i="7"/>
  <c r="F14" i="6"/>
  <c r="Q49" i="10"/>
  <c r="J49" i="5"/>
  <c r="K48" i="6"/>
  <c r="G14" i="8"/>
  <c r="H13" i="6"/>
  <c r="H47" i="6"/>
  <c r="K49" i="9"/>
  <c r="I13" i="5"/>
  <c r="K15" i="10"/>
  <c r="E12" i="4"/>
  <c r="F49" i="8"/>
  <c r="L49" i="4"/>
  <c r="J13" i="11"/>
  <c r="M13" i="5"/>
  <c r="M49" i="11"/>
  <c r="G12" i="4"/>
  <c r="L49" i="7"/>
  <c r="L12" i="5"/>
  <c r="K50" i="10"/>
  <c r="I12" i="7"/>
  <c r="J11" i="7"/>
  <c r="Q49" i="5"/>
  <c r="I15" i="10"/>
  <c r="J12" i="4"/>
  <c r="L15" i="10"/>
  <c r="K13" i="5"/>
  <c r="N12" i="4"/>
  <c r="F12" i="5"/>
  <c r="N49" i="4"/>
  <c r="M15" i="10"/>
  <c r="M48" i="4"/>
  <c r="Q13" i="5"/>
  <c r="N48" i="6"/>
  <c r="O49" i="11"/>
  <c r="H11" i="7"/>
  <c r="I50" i="10"/>
  <c r="K12" i="7"/>
  <c r="P49" i="8"/>
  <c r="L49" i="9"/>
  <c r="N14" i="6"/>
  <c r="J49" i="8"/>
  <c r="K49" i="8"/>
  <c r="M49" i="4"/>
  <c r="G49" i="4"/>
  <c r="M49" i="9"/>
  <c r="G49" i="7"/>
  <c r="M49" i="5"/>
  <c r="G13" i="5"/>
  <c r="L13" i="11"/>
  <c r="J13" i="5"/>
  <c r="F13" i="5"/>
  <c r="J14" i="8"/>
  <c r="F14" i="8"/>
  <c r="O14" i="8"/>
  <c r="O49" i="7"/>
  <c r="J49" i="7"/>
  <c r="L12" i="7"/>
  <c r="J12" i="7"/>
  <c r="M12" i="7"/>
  <c r="P12" i="7"/>
  <c r="O12" i="7"/>
  <c r="L14" i="6"/>
  <c r="Q14" i="6"/>
  <c r="O14" i="6"/>
  <c r="M14" i="6"/>
  <c r="K14" i="6"/>
  <c r="N49" i="8"/>
  <c r="O49" i="8"/>
  <c r="Q49" i="8"/>
  <c r="L49" i="8"/>
  <c r="I49" i="8"/>
  <c r="H49" i="9"/>
  <c r="N49" i="9"/>
  <c r="J49" i="9"/>
  <c r="O49" i="9"/>
  <c r="P49" i="9"/>
  <c r="Q49" i="9"/>
  <c r="I49" i="9"/>
  <c r="J15" i="10"/>
  <c r="O15" i="10"/>
  <c r="Q15" i="10"/>
  <c r="N15" i="10"/>
  <c r="G15" i="10"/>
  <c r="P15" i="10"/>
  <c r="K49" i="5"/>
  <c r="L49" i="5"/>
  <c r="N49" i="5"/>
  <c r="F49" i="5"/>
  <c r="P49" i="5"/>
  <c r="O49" i="5"/>
  <c r="I49" i="5"/>
  <c r="G49" i="5"/>
  <c r="I48" i="6"/>
  <c r="L48" i="6"/>
  <c r="F48" i="6"/>
  <c r="J48" i="6"/>
  <c r="Q48" i="6"/>
  <c r="O48" i="6"/>
  <c r="G48" i="6"/>
  <c r="O49" i="4"/>
  <c r="F49" i="4"/>
  <c r="P49" i="4"/>
  <c r="I49" i="4"/>
  <c r="J49" i="4"/>
  <c r="Q49" i="4"/>
  <c r="I12" i="4"/>
  <c r="L12" i="4"/>
  <c r="P12" i="4"/>
  <c r="Q12" i="4"/>
  <c r="O12" i="4"/>
  <c r="F12" i="4"/>
  <c r="M12" i="4"/>
  <c r="K12" i="4"/>
  <c r="C52" i="10" l="1"/>
  <c r="C15" i="11"/>
  <c r="C51" i="11"/>
  <c r="C17" i="10"/>
  <c r="C14" i="9"/>
  <c r="C16" i="8"/>
  <c r="C51" i="9"/>
  <c r="C51" i="8"/>
  <c r="C14" i="7"/>
  <c r="C51" i="7"/>
  <c r="C50" i="6"/>
  <c r="C16" i="6"/>
  <c r="C15" i="5"/>
  <c r="C51" i="5"/>
  <c r="C14" i="4"/>
  <c r="C51" i="4"/>
  <c r="H49" i="5"/>
  <c r="E50" i="11"/>
  <c r="H12" i="4"/>
  <c r="H49" i="8"/>
  <c r="E50" i="5"/>
  <c r="P50" i="5"/>
  <c r="L50" i="5"/>
  <c r="E15" i="8"/>
  <c r="L15" i="8"/>
  <c r="Q50" i="11"/>
  <c r="O13" i="5"/>
  <c r="N15" i="8"/>
  <c r="L50" i="11"/>
  <c r="G50" i="5"/>
  <c r="H48" i="6"/>
  <c r="E15" i="6"/>
  <c r="E14" i="5"/>
  <c r="P50" i="11"/>
  <c r="H12" i="7"/>
  <c r="J50" i="11"/>
  <c r="H13" i="5"/>
  <c r="E50" i="8"/>
  <c r="F50" i="11"/>
  <c r="F15" i="6"/>
  <c r="E13" i="9"/>
  <c r="Q15" i="8"/>
  <c r="L15" i="6"/>
  <c r="P15" i="8"/>
  <c r="P15" i="6"/>
  <c r="M50" i="11"/>
  <c r="G15" i="8"/>
  <c r="F50" i="8"/>
  <c r="K50" i="8"/>
  <c r="P50" i="8"/>
  <c r="G13" i="9"/>
  <c r="N50" i="5"/>
  <c r="G14" i="5"/>
  <c r="H12" i="9"/>
  <c r="E14" i="11"/>
  <c r="H15" i="10"/>
  <c r="E50" i="4"/>
  <c r="M13" i="9"/>
  <c r="N14" i="11"/>
  <c r="H49" i="7"/>
  <c r="J15" i="8"/>
  <c r="K15" i="6"/>
  <c r="N50" i="8"/>
  <c r="I50" i="11"/>
  <c r="P48" i="6"/>
  <c r="E49" i="6"/>
  <c r="G49" i="6"/>
  <c r="F15" i="10"/>
  <c r="J13" i="9"/>
  <c r="K14" i="5"/>
  <c r="N14" i="5"/>
  <c r="E13" i="7"/>
  <c r="I14" i="11"/>
  <c r="F13" i="7"/>
  <c r="E13" i="4"/>
  <c r="O14" i="11"/>
  <c r="Q13" i="7"/>
  <c r="H14" i="8"/>
  <c r="H49" i="4"/>
  <c r="O50" i="5"/>
  <c r="H13" i="11"/>
  <c r="Q13" i="4"/>
  <c r="N13" i="9"/>
  <c r="G14" i="11"/>
  <c r="G50" i="11"/>
  <c r="J13" i="4"/>
  <c r="I50" i="5"/>
  <c r="M14" i="11"/>
  <c r="O15" i="6"/>
  <c r="K50" i="4"/>
  <c r="K50" i="11"/>
  <c r="J14" i="5"/>
  <c r="G12" i="7"/>
  <c r="E51" i="10"/>
  <c r="H49" i="11"/>
  <c r="I49" i="6"/>
  <c r="K13" i="9"/>
  <c r="E50" i="9"/>
  <c r="O13" i="9"/>
  <c r="L51" i="10"/>
  <c r="Q51" i="10"/>
  <c r="H14" i="6"/>
  <c r="J50" i="5"/>
  <c r="F14" i="11"/>
  <c r="Q15" i="6"/>
  <c r="N50" i="4"/>
  <c r="N50" i="11"/>
  <c r="F14" i="5"/>
  <c r="M14" i="8"/>
  <c r="I15" i="8"/>
  <c r="P49" i="6"/>
  <c r="J50" i="8"/>
  <c r="L14" i="11"/>
  <c r="K51" i="10"/>
  <c r="O49" i="6"/>
  <c r="L50" i="8"/>
  <c r="O50" i="11"/>
  <c r="E16" i="10"/>
  <c r="M49" i="6"/>
  <c r="M16" i="10"/>
  <c r="H50" i="10"/>
  <c r="L14" i="5"/>
  <c r="F49" i="6"/>
  <c r="I50" i="8"/>
  <c r="O13" i="7"/>
  <c r="K16" i="10"/>
  <c r="E50" i="7"/>
  <c r="K13" i="7"/>
  <c r="J51" i="10"/>
  <c r="Q14" i="5"/>
  <c r="O50" i="8"/>
  <c r="Q50" i="5"/>
  <c r="M50" i="5"/>
  <c r="F50" i="5"/>
  <c r="K50" i="5"/>
  <c r="O15" i="8"/>
  <c r="K15" i="8"/>
  <c r="M15" i="8"/>
  <c r="I15" i="6"/>
  <c r="J15" i="6"/>
  <c r="G15" i="6"/>
  <c r="M15" i="6"/>
  <c r="P14" i="5"/>
  <c r="O14" i="5"/>
  <c r="I14" i="5"/>
  <c r="M14" i="5"/>
  <c r="M50" i="8"/>
  <c r="G50" i="8"/>
  <c r="Q50" i="8"/>
  <c r="P13" i="9"/>
  <c r="H13" i="9"/>
  <c r="Q13" i="9"/>
  <c r="L13" i="9"/>
  <c r="F13" i="9"/>
  <c r="J14" i="11"/>
  <c r="P14" i="11"/>
  <c r="Q14" i="11"/>
  <c r="K14" i="11"/>
  <c r="J50" i="4"/>
  <c r="L50" i="4"/>
  <c r="Q50" i="4"/>
  <c r="O50" i="4"/>
  <c r="I50" i="4"/>
  <c r="M50" i="4"/>
  <c r="F50" i="4"/>
  <c r="G50" i="4"/>
  <c r="N49" i="6"/>
  <c r="Q49" i="6"/>
  <c r="K49" i="6"/>
  <c r="J49" i="6"/>
  <c r="L49" i="6"/>
  <c r="G13" i="7"/>
  <c r="P13" i="7"/>
  <c r="L13" i="7"/>
  <c r="J13" i="7"/>
  <c r="N13" i="7"/>
  <c r="M13" i="7"/>
  <c r="G13" i="4"/>
  <c r="O13" i="4"/>
  <c r="L13" i="4"/>
  <c r="K13" i="4"/>
  <c r="F13" i="4"/>
  <c r="N13" i="4"/>
  <c r="M13" i="4"/>
  <c r="I13" i="4"/>
  <c r="P13" i="4"/>
  <c r="O51" i="10"/>
  <c r="F51" i="10"/>
  <c r="N51" i="10"/>
  <c r="I51" i="10"/>
  <c r="M51" i="10"/>
  <c r="P51" i="10"/>
  <c r="K50" i="9"/>
  <c r="L50" i="9"/>
  <c r="P50" i="9"/>
  <c r="Q50" i="9"/>
  <c r="M50" i="9"/>
  <c r="J50" i="9"/>
  <c r="I50" i="9"/>
  <c r="N50" i="9"/>
  <c r="H50" i="9"/>
  <c r="F50" i="9"/>
  <c r="O50" i="9"/>
  <c r="G50" i="9"/>
  <c r="O16" i="10"/>
  <c r="F16" i="10"/>
  <c r="I16" i="10"/>
  <c r="L16" i="10"/>
  <c r="N16" i="10"/>
  <c r="G16" i="10"/>
  <c r="F50" i="7"/>
  <c r="G50" i="7"/>
  <c r="P50" i="7"/>
  <c r="I50" i="7"/>
  <c r="K50" i="7"/>
  <c r="N50" i="7"/>
  <c r="J50" i="7"/>
  <c r="Q50" i="7"/>
  <c r="L50" i="7"/>
  <c r="O50" i="7"/>
  <c r="C52" i="11" l="1"/>
  <c r="C16" i="11"/>
  <c r="C18" i="10"/>
  <c r="C53" i="10"/>
  <c r="C15" i="9"/>
  <c r="C52" i="8"/>
  <c r="C52" i="9"/>
  <c r="C17" i="8"/>
  <c r="C17" i="6"/>
  <c r="C51" i="6"/>
  <c r="C52" i="7"/>
  <c r="C15" i="7"/>
  <c r="C52" i="5"/>
  <c r="C16" i="5"/>
  <c r="C15" i="4"/>
  <c r="C52" i="4"/>
  <c r="P16" i="10"/>
  <c r="H15" i="8"/>
  <c r="I13" i="9"/>
  <c r="E51" i="4"/>
  <c r="E51" i="8"/>
  <c r="H14" i="5"/>
  <c r="G51" i="4"/>
  <c r="H14" i="11"/>
  <c r="Q16" i="10"/>
  <c r="I13" i="7"/>
  <c r="Q51" i="4"/>
  <c r="H49" i="6"/>
  <c r="H13" i="7"/>
  <c r="E51" i="7"/>
  <c r="K51" i="7"/>
  <c r="E14" i="7"/>
  <c r="E15" i="11"/>
  <c r="J51" i="4"/>
  <c r="H50" i="11"/>
  <c r="M50" i="7"/>
  <c r="E52" i="10"/>
  <c r="E16" i="6"/>
  <c r="H16" i="10"/>
  <c r="O15" i="11"/>
  <c r="L51" i="7"/>
  <c r="O14" i="7"/>
  <c r="Q14" i="7"/>
  <c r="E15" i="5"/>
  <c r="I51" i="4"/>
  <c r="M51" i="8"/>
  <c r="H50" i="8"/>
  <c r="K51" i="8"/>
  <c r="H13" i="4"/>
  <c r="E14" i="4"/>
  <c r="L51" i="8"/>
  <c r="H51" i="10"/>
  <c r="F15" i="8"/>
  <c r="I14" i="7"/>
  <c r="M15" i="11"/>
  <c r="L15" i="5"/>
  <c r="O51" i="4"/>
  <c r="P51" i="8"/>
  <c r="M52" i="10"/>
  <c r="E14" i="9"/>
  <c r="F51" i="4"/>
  <c r="M16" i="6"/>
  <c r="K52" i="10"/>
  <c r="F14" i="7"/>
  <c r="E51" i="9"/>
  <c r="O16" i="6"/>
  <c r="M14" i="7"/>
  <c r="P51" i="4"/>
  <c r="O51" i="8"/>
  <c r="G51" i="9"/>
  <c r="O14" i="4"/>
  <c r="E16" i="8"/>
  <c r="H15" i="6"/>
  <c r="F51" i="7"/>
  <c r="E51" i="5"/>
  <c r="F16" i="8"/>
  <c r="H50" i="4"/>
  <c r="P16" i="6"/>
  <c r="G51" i="5"/>
  <c r="L15" i="11"/>
  <c r="Q14" i="4"/>
  <c r="N15" i="6"/>
  <c r="O52" i="10"/>
  <c r="N51" i="5"/>
  <c r="O14" i="9"/>
  <c r="H50" i="5"/>
  <c r="I15" i="5"/>
  <c r="G14" i="9"/>
  <c r="J15" i="11"/>
  <c r="K15" i="5"/>
  <c r="P50" i="4"/>
  <c r="G16" i="8"/>
  <c r="P52" i="10"/>
  <c r="E17" i="10"/>
  <c r="J14" i="9"/>
  <c r="J51" i="8"/>
  <c r="P51" i="9"/>
  <c r="N16" i="8"/>
  <c r="E51" i="11"/>
  <c r="M14" i="9"/>
  <c r="P15" i="5"/>
  <c r="K14" i="9"/>
  <c r="P16" i="8"/>
  <c r="K51" i="4"/>
  <c r="P17" i="10"/>
  <c r="G51" i="10"/>
  <c r="F51" i="8"/>
  <c r="P15" i="11"/>
  <c r="F52" i="10"/>
  <c r="G52" i="10"/>
  <c r="H14" i="9"/>
  <c r="J52" i="10"/>
  <c r="L52" i="10"/>
  <c r="M51" i="4"/>
  <c r="P51" i="11"/>
  <c r="Q14" i="9"/>
  <c r="N51" i="8"/>
  <c r="K14" i="7"/>
  <c r="F17" i="10"/>
  <c r="I51" i="7"/>
  <c r="N15" i="11"/>
  <c r="J51" i="11"/>
  <c r="O17" i="10"/>
  <c r="M14" i="4"/>
  <c r="J15" i="5"/>
  <c r="N15" i="5"/>
  <c r="I16" i="6"/>
  <c r="J16" i="10"/>
  <c r="J14" i="7"/>
  <c r="G51" i="7"/>
  <c r="L51" i="4"/>
  <c r="I51" i="5"/>
  <c r="L51" i="11"/>
  <c r="J14" i="4"/>
  <c r="Q16" i="8"/>
  <c r="J51" i="7"/>
  <c r="Q51" i="7"/>
  <c r="I51" i="8"/>
  <c r="I17" i="10"/>
  <c r="Q51" i="9"/>
  <c r="F51" i="5"/>
  <c r="K51" i="9"/>
  <c r="M15" i="5"/>
  <c r="E50" i="6"/>
  <c r="H50" i="7"/>
  <c r="O16" i="8"/>
  <c r="O51" i="5"/>
  <c r="Q51" i="8"/>
  <c r="O15" i="5"/>
  <c r="O51" i="7"/>
  <c r="N51" i="7"/>
  <c r="P51" i="7"/>
  <c r="P14" i="7"/>
  <c r="F15" i="11"/>
  <c r="I15" i="11"/>
  <c r="Q15" i="11"/>
  <c r="K15" i="11"/>
  <c r="G15" i="11"/>
  <c r="I52" i="10"/>
  <c r="Q52" i="10"/>
  <c r="N52" i="10"/>
  <c r="Q16" i="6"/>
  <c r="J16" i="6"/>
  <c r="K16" i="6"/>
  <c r="L16" i="6"/>
  <c r="N16" i="6"/>
  <c r="G15" i="5"/>
  <c r="Q15" i="5"/>
  <c r="G14" i="4"/>
  <c r="K14" i="4"/>
  <c r="I14" i="4"/>
  <c r="L14" i="4"/>
  <c r="P14" i="4"/>
  <c r="N14" i="4"/>
  <c r="I14" i="9"/>
  <c r="P14" i="9"/>
  <c r="L14" i="9"/>
  <c r="F14" i="9"/>
  <c r="N14" i="9"/>
  <c r="N51" i="9"/>
  <c r="I51" i="9"/>
  <c r="L51" i="9"/>
  <c r="M51" i="9"/>
  <c r="F51" i="9"/>
  <c r="H51" i="9"/>
  <c r="O51" i="9"/>
  <c r="M16" i="8"/>
  <c r="L16" i="8"/>
  <c r="K16" i="8"/>
  <c r="J16" i="8"/>
  <c r="I16" i="8"/>
  <c r="P51" i="5"/>
  <c r="L51" i="5"/>
  <c r="M51" i="5"/>
  <c r="Q51" i="5"/>
  <c r="J51" i="5"/>
  <c r="K51" i="5"/>
  <c r="G17" i="10"/>
  <c r="J17" i="10"/>
  <c r="M17" i="10"/>
  <c r="N17" i="10"/>
  <c r="K17" i="10"/>
  <c r="L17" i="10"/>
  <c r="I51" i="11"/>
  <c r="Q51" i="11"/>
  <c r="N51" i="11"/>
  <c r="K51" i="11"/>
  <c r="F51" i="11"/>
  <c r="G51" i="11"/>
  <c r="M51" i="11"/>
  <c r="Q50" i="6"/>
  <c r="M50" i="6"/>
  <c r="L50" i="6"/>
  <c r="F50" i="6"/>
  <c r="I50" i="6"/>
  <c r="O50" i="6"/>
  <c r="P50" i="6"/>
  <c r="G50" i="6"/>
  <c r="K50" i="6"/>
  <c r="J50" i="6"/>
  <c r="N50" i="6"/>
  <c r="C54" i="10" l="1"/>
  <c r="C19" i="10"/>
  <c r="C17" i="11"/>
  <c r="C53" i="11"/>
  <c r="C53" i="9"/>
  <c r="C18" i="8"/>
  <c r="C53" i="8"/>
  <c r="C16" i="9"/>
  <c r="C16" i="7"/>
  <c r="C52" i="6"/>
  <c r="C18" i="6"/>
  <c r="C53" i="7"/>
  <c r="C17" i="5"/>
  <c r="C53" i="5"/>
  <c r="C16" i="4"/>
  <c r="C53" i="4"/>
  <c r="E17" i="8"/>
  <c r="K17" i="8" s="1"/>
  <c r="F15" i="5"/>
  <c r="J51" i="9"/>
  <c r="H51" i="7"/>
  <c r="E52" i="11"/>
  <c r="E15" i="7"/>
  <c r="E15" i="4"/>
  <c r="F15" i="7"/>
  <c r="J52" i="11"/>
  <c r="F52" i="11"/>
  <c r="E52" i="8"/>
  <c r="Q52" i="11"/>
  <c r="J15" i="4"/>
  <c r="P52" i="8"/>
  <c r="H51" i="5"/>
  <c r="L15" i="7"/>
  <c r="L52" i="8"/>
  <c r="M17" i="8"/>
  <c r="G51" i="8"/>
  <c r="Q15" i="7"/>
  <c r="E52" i="9"/>
  <c r="Q52" i="9"/>
  <c r="G16" i="6"/>
  <c r="E16" i="11"/>
  <c r="E51" i="6"/>
  <c r="H50" i="6"/>
  <c r="F14" i="4"/>
  <c r="O51" i="6"/>
  <c r="I15" i="4"/>
  <c r="O52" i="8"/>
  <c r="H14" i="7"/>
  <c r="O51" i="11"/>
  <c r="J17" i="8"/>
  <c r="I16" i="11"/>
  <c r="L17" i="8"/>
  <c r="E52" i="4"/>
  <c r="K51" i="6"/>
  <c r="F51" i="6"/>
  <c r="O52" i="11"/>
  <c r="O17" i="8"/>
  <c r="M52" i="11"/>
  <c r="Q51" i="6"/>
  <c r="K52" i="8"/>
  <c r="F52" i="9"/>
  <c r="E15" i="9"/>
  <c r="L15" i="4"/>
  <c r="H15" i="5"/>
  <c r="M51" i="7"/>
  <c r="F17" i="8"/>
  <c r="K52" i="11"/>
  <c r="F15" i="9"/>
  <c r="I52" i="11"/>
  <c r="N17" i="8"/>
  <c r="P51" i="6"/>
  <c r="F52" i="8"/>
  <c r="E16" i="5"/>
  <c r="E52" i="7"/>
  <c r="J51" i="6"/>
  <c r="H17" i="10"/>
  <c r="P52" i="9"/>
  <c r="L52" i="4"/>
  <c r="O15" i="4"/>
  <c r="G17" i="8"/>
  <c r="E18" i="10"/>
  <c r="G52" i="11"/>
  <c r="O16" i="5"/>
  <c r="P17" i="8"/>
  <c r="N52" i="8"/>
  <c r="K15" i="7"/>
  <c r="H51" i="8"/>
  <c r="P52" i="4"/>
  <c r="M16" i="5"/>
  <c r="L16" i="11"/>
  <c r="L51" i="6"/>
  <c r="E52" i="5"/>
  <c r="L52" i="7"/>
  <c r="K15" i="9"/>
  <c r="H52" i="10"/>
  <c r="Q15" i="4"/>
  <c r="O18" i="10"/>
  <c r="K16" i="11"/>
  <c r="M15" i="9"/>
  <c r="E17" i="6"/>
  <c r="G15" i="4"/>
  <c r="J17" i="6"/>
  <c r="O15" i="7"/>
  <c r="Q17" i="8"/>
  <c r="N52" i="4"/>
  <c r="Q17" i="6"/>
  <c r="M52" i="8"/>
  <c r="F16" i="6"/>
  <c r="M52" i="5"/>
  <c r="I16" i="5"/>
  <c r="F52" i="7"/>
  <c r="E53" i="10"/>
  <c r="H14" i="4"/>
  <c r="K52" i="5"/>
  <c r="L14" i="7"/>
  <c r="G14" i="7"/>
  <c r="I51" i="6"/>
  <c r="F18" i="10"/>
  <c r="G52" i="7"/>
  <c r="J16" i="5"/>
  <c r="P15" i="7"/>
  <c r="M52" i="4"/>
  <c r="I17" i="6"/>
  <c r="N14" i="7"/>
  <c r="O52" i="5"/>
  <c r="L15" i="9"/>
  <c r="F53" i="10"/>
  <c r="Q17" i="10"/>
  <c r="K53" i="10"/>
  <c r="G15" i="7"/>
  <c r="H16" i="6"/>
  <c r="I17" i="8"/>
  <c r="F15" i="4"/>
  <c r="N17" i="6"/>
  <c r="J52" i="9"/>
  <c r="F16" i="5"/>
  <c r="N15" i="7"/>
  <c r="J15" i="7"/>
  <c r="G52" i="9"/>
  <c r="P52" i="11"/>
  <c r="P16" i="11"/>
  <c r="J52" i="4"/>
  <c r="H51" i="11"/>
  <c r="G16" i="5"/>
  <c r="L52" i="9"/>
  <c r="N52" i="9"/>
  <c r="N52" i="11"/>
  <c r="H51" i="4"/>
  <c r="I52" i="7"/>
  <c r="G52" i="4"/>
  <c r="N51" i="4"/>
  <c r="H15" i="11"/>
  <c r="N16" i="11"/>
  <c r="H16" i="8"/>
  <c r="O52" i="7"/>
  <c r="M15" i="4"/>
  <c r="I15" i="7"/>
  <c r="M15" i="7"/>
  <c r="N15" i="4"/>
  <c r="P15" i="4"/>
  <c r="K15" i="4"/>
  <c r="J52" i="8"/>
  <c r="G52" i="8"/>
  <c r="I52" i="8"/>
  <c r="O52" i="9"/>
  <c r="I52" i="9"/>
  <c r="M52" i="9"/>
  <c r="H52" i="9"/>
  <c r="K52" i="9"/>
  <c r="J16" i="11"/>
  <c r="M16" i="11"/>
  <c r="O16" i="11"/>
  <c r="G16" i="11"/>
  <c r="H51" i="6"/>
  <c r="N51" i="6"/>
  <c r="M51" i="6"/>
  <c r="G51" i="6"/>
  <c r="F52" i="4"/>
  <c r="Q52" i="4"/>
  <c r="I52" i="4"/>
  <c r="O52" i="4"/>
  <c r="K52" i="4"/>
  <c r="H15" i="9"/>
  <c r="G15" i="9"/>
  <c r="O15" i="9"/>
  <c r="I15" i="9"/>
  <c r="P15" i="9"/>
  <c r="L16" i="5"/>
  <c r="Q16" i="5"/>
  <c r="N16" i="5"/>
  <c r="P16" i="5"/>
  <c r="K16" i="5"/>
  <c r="Q52" i="7"/>
  <c r="M52" i="7"/>
  <c r="K52" i="7"/>
  <c r="H52" i="7"/>
  <c r="J52" i="7"/>
  <c r="N52" i="7"/>
  <c r="P52" i="7"/>
  <c r="P18" i="10"/>
  <c r="N18" i="10"/>
  <c r="J18" i="10"/>
  <c r="Q18" i="10"/>
  <c r="G18" i="10"/>
  <c r="L18" i="10"/>
  <c r="I18" i="10"/>
  <c r="M18" i="10"/>
  <c r="K18" i="10"/>
  <c r="N52" i="5"/>
  <c r="J52" i="5"/>
  <c r="P52" i="5"/>
  <c r="L52" i="5"/>
  <c r="F52" i="5"/>
  <c r="Q52" i="5"/>
  <c r="G52" i="5"/>
  <c r="P17" i="6"/>
  <c r="G17" i="6"/>
  <c r="F17" i="6"/>
  <c r="K17" i="6"/>
  <c r="O17" i="6"/>
  <c r="L53" i="10"/>
  <c r="N53" i="10"/>
  <c r="P53" i="10"/>
  <c r="J53" i="10"/>
  <c r="O53" i="10"/>
  <c r="G53" i="10"/>
  <c r="M53" i="10"/>
  <c r="Q53" i="10"/>
  <c r="C55" i="10" l="1"/>
  <c r="C54" i="11"/>
  <c r="C18" i="11"/>
  <c r="C20" i="10"/>
  <c r="C17" i="9"/>
  <c r="C54" i="8"/>
  <c r="C19" i="8"/>
  <c r="C54" i="9"/>
  <c r="C19" i="6"/>
  <c r="C53" i="6"/>
  <c r="C17" i="7"/>
  <c r="C54" i="7"/>
  <c r="C54" i="5"/>
  <c r="C18" i="5"/>
  <c r="C54" i="4"/>
  <c r="C17" i="4"/>
  <c r="I52" i="5"/>
  <c r="F16" i="11"/>
  <c r="E53" i="9"/>
  <c r="E18" i="6"/>
  <c r="G53" i="9"/>
  <c r="I18" i="6"/>
  <c r="H52" i="5"/>
  <c r="H16" i="11"/>
  <c r="M17" i="6"/>
  <c r="E17" i="5"/>
  <c r="L17" i="5" s="1"/>
  <c r="K53" i="9"/>
  <c r="Q18" i="6"/>
  <c r="N17" i="5"/>
  <c r="G17" i="5"/>
  <c r="H53" i="9"/>
  <c r="P17" i="5"/>
  <c r="H17" i="6"/>
  <c r="P18" i="6"/>
  <c r="I17" i="5"/>
  <c r="O53" i="9"/>
  <c r="L18" i="6"/>
  <c r="Q15" i="9"/>
  <c r="E16" i="7"/>
  <c r="M16" i="7"/>
  <c r="H15" i="7"/>
  <c r="F16" i="7"/>
  <c r="J53" i="9"/>
  <c r="G18" i="6"/>
  <c r="L16" i="7"/>
  <c r="O17" i="5"/>
  <c r="Q52" i="8"/>
  <c r="K17" i="5"/>
  <c r="H16" i="5"/>
  <c r="Q53" i="9"/>
  <c r="E16" i="4"/>
  <c r="O16" i="4"/>
  <c r="J17" i="5"/>
  <c r="H53" i="10"/>
  <c r="H15" i="4"/>
  <c r="K16" i="7"/>
  <c r="L53" i="9"/>
  <c r="F18" i="6"/>
  <c r="E52" i="6"/>
  <c r="E53" i="8"/>
  <c r="L17" i="6"/>
  <c r="L52" i="11"/>
  <c r="E18" i="8"/>
  <c r="E53" i="4"/>
  <c r="N18" i="8"/>
  <c r="P53" i="9"/>
  <c r="E53" i="5"/>
  <c r="H18" i="10"/>
  <c r="J18" i="8"/>
  <c r="I53" i="9"/>
  <c r="H17" i="8"/>
  <c r="J52" i="6"/>
  <c r="Q53" i="4"/>
  <c r="M17" i="5"/>
  <c r="G53" i="8"/>
  <c r="E54" i="10"/>
  <c r="H52" i="8"/>
  <c r="O18" i="8"/>
  <c r="J53" i="4"/>
  <c r="K16" i="4"/>
  <c r="E53" i="11"/>
  <c r="F54" i="10"/>
  <c r="J18" i="6"/>
  <c r="H52" i="4"/>
  <c r="Q16" i="11"/>
  <c r="J15" i="9"/>
  <c r="I53" i="10"/>
  <c r="H52" i="11"/>
  <c r="J16" i="7"/>
  <c r="E17" i="11"/>
  <c r="J53" i="8"/>
  <c r="O54" i="10"/>
  <c r="I18" i="8"/>
  <c r="F53" i="9"/>
  <c r="M17" i="11"/>
  <c r="K18" i="6"/>
  <c r="Q17" i="5"/>
  <c r="E16" i="9"/>
  <c r="P53" i="8"/>
  <c r="F53" i="11"/>
  <c r="F53" i="5"/>
  <c r="Q18" i="8"/>
  <c r="N53" i="4"/>
  <c r="M18" i="6"/>
  <c r="Q52" i="6"/>
  <c r="M53" i="8"/>
  <c r="N15" i="9"/>
  <c r="E19" i="10"/>
  <c r="P16" i="7"/>
  <c r="M53" i="9"/>
  <c r="F17" i="11"/>
  <c r="E53" i="7"/>
  <c r="O16" i="9"/>
  <c r="M54" i="10"/>
  <c r="G16" i="7"/>
  <c r="I53" i="4"/>
  <c r="N53" i="9"/>
  <c r="Q16" i="7"/>
  <c r="I16" i="7"/>
  <c r="O16" i="7"/>
  <c r="N16" i="7"/>
  <c r="F16" i="4"/>
  <c r="N16" i="4"/>
  <c r="I16" i="4"/>
  <c r="L16" i="4"/>
  <c r="J16" i="4"/>
  <c r="P16" i="4"/>
  <c r="Q16" i="4"/>
  <c r="I52" i="6"/>
  <c r="N52" i="6"/>
  <c r="L52" i="6"/>
  <c r="O52" i="6"/>
  <c r="M52" i="6"/>
  <c r="P52" i="6"/>
  <c r="F52" i="6"/>
  <c r="K52" i="6"/>
  <c r="L53" i="8"/>
  <c r="Q53" i="8"/>
  <c r="F53" i="8"/>
  <c r="I53" i="8"/>
  <c r="N53" i="8"/>
  <c r="K53" i="8"/>
  <c r="F18" i="8"/>
  <c r="K18" i="8"/>
  <c r="L18" i="8"/>
  <c r="P18" i="8"/>
  <c r="M18" i="8"/>
  <c r="F53" i="4"/>
  <c r="P53" i="4"/>
  <c r="K53" i="4"/>
  <c r="O53" i="4"/>
  <c r="L53" i="4"/>
  <c r="M53" i="4"/>
  <c r="G53" i="4"/>
  <c r="G53" i="5"/>
  <c r="I53" i="5"/>
  <c r="P53" i="5"/>
  <c r="J53" i="5"/>
  <c r="Q53" i="5"/>
  <c r="M53" i="5"/>
  <c r="L53" i="5"/>
  <c r="N53" i="5"/>
  <c r="Q54" i="10"/>
  <c r="N54" i="10"/>
  <c r="I54" i="10"/>
  <c r="G54" i="10"/>
  <c r="P54" i="10"/>
  <c r="J54" i="10"/>
  <c r="K54" i="10"/>
  <c r="L54" i="10"/>
  <c r="I53" i="11"/>
  <c r="G53" i="11"/>
  <c r="M53" i="11"/>
  <c r="O53" i="11"/>
  <c r="N53" i="11"/>
  <c r="Q53" i="11"/>
  <c r="L53" i="11"/>
  <c r="J53" i="11"/>
  <c r="P53" i="11"/>
  <c r="K53" i="11"/>
  <c r="G17" i="11"/>
  <c r="N17" i="11"/>
  <c r="I17" i="11"/>
  <c r="P17" i="11"/>
  <c r="J17" i="11"/>
  <c r="Q17" i="11"/>
  <c r="O17" i="11"/>
  <c r="L17" i="11"/>
  <c r="K17" i="11"/>
  <c r="G16" i="9"/>
  <c r="Q16" i="9"/>
  <c r="J16" i="9"/>
  <c r="N16" i="9"/>
  <c r="H16" i="9"/>
  <c r="P16" i="9"/>
  <c r="F16" i="9"/>
  <c r="M16" i="9"/>
  <c r="I16" i="9"/>
  <c r="L16" i="9"/>
  <c r="N19" i="10"/>
  <c r="F19" i="10"/>
  <c r="L19" i="10"/>
  <c r="P19" i="10"/>
  <c r="I19" i="10"/>
  <c r="O19" i="10"/>
  <c r="J19" i="10"/>
  <c r="K19" i="10"/>
  <c r="M19" i="10"/>
  <c r="K53" i="7"/>
  <c r="I53" i="7"/>
  <c r="G53" i="7"/>
  <c r="F53" i="7"/>
  <c r="P53" i="7"/>
  <c r="Q53" i="7"/>
  <c r="O53" i="7"/>
  <c r="L53" i="7"/>
  <c r="M53" i="7"/>
  <c r="N53" i="7"/>
  <c r="J53" i="7"/>
  <c r="C21" i="10" l="1"/>
  <c r="C19" i="11"/>
  <c r="C55" i="11"/>
  <c r="C56" i="10"/>
  <c r="C55" i="9"/>
  <c r="C55" i="8"/>
  <c r="C20" i="8"/>
  <c r="C18" i="9"/>
  <c r="C20" i="6"/>
  <c r="C54" i="6"/>
  <c r="C55" i="7"/>
  <c r="C18" i="7"/>
  <c r="C19" i="5"/>
  <c r="C55" i="5"/>
  <c r="C55" i="4"/>
  <c r="C18" i="4"/>
  <c r="K16" i="9"/>
  <c r="H16" i="7"/>
  <c r="E54" i="7"/>
  <c r="E17" i="4"/>
  <c r="H17" i="11"/>
  <c r="H52" i="6"/>
  <c r="N18" i="6"/>
  <c r="E19" i="6"/>
  <c r="O19" i="6"/>
  <c r="E18" i="5"/>
  <c r="F18" i="5"/>
  <c r="K53" i="5"/>
  <c r="K18" i="5"/>
  <c r="G54" i="7"/>
  <c r="H53" i="5"/>
  <c r="E55" i="10"/>
  <c r="H53" i="4"/>
  <c r="F55" i="10"/>
  <c r="E54" i="8"/>
  <c r="G55" i="10"/>
  <c r="L18" i="5"/>
  <c r="H53" i="7"/>
  <c r="G17" i="4"/>
  <c r="N18" i="5"/>
  <c r="K54" i="7"/>
  <c r="G16" i="4"/>
  <c r="E53" i="6"/>
  <c r="O54" i="8"/>
  <c r="I54" i="7"/>
  <c r="Q54" i="7"/>
  <c r="N55" i="10"/>
  <c r="O17" i="4"/>
  <c r="J54" i="8"/>
  <c r="P54" i="7"/>
  <c r="O55" i="10"/>
  <c r="J53" i="6"/>
  <c r="M53" i="6"/>
  <c r="Q54" i="8"/>
  <c r="J17" i="4"/>
  <c r="K54" i="8"/>
  <c r="H16" i="4"/>
  <c r="I19" i="6"/>
  <c r="O18" i="5"/>
  <c r="Q19" i="10"/>
  <c r="K55" i="10"/>
  <c r="O18" i="6"/>
  <c r="H19" i="10"/>
  <c r="E19" i="8"/>
  <c r="F17" i="4"/>
  <c r="P19" i="8"/>
  <c r="M54" i="7"/>
  <c r="E18" i="11"/>
  <c r="H18" i="8"/>
  <c r="M55" i="10"/>
  <c r="F54" i="7"/>
  <c r="P55" i="10"/>
  <c r="I53" i="6"/>
  <c r="O53" i="8"/>
  <c r="K17" i="4"/>
  <c r="I54" i="8"/>
  <c r="H54" i="7"/>
  <c r="H18" i="6"/>
  <c r="L19" i="6"/>
  <c r="F17" i="5"/>
  <c r="N53" i="6"/>
  <c r="K18" i="11"/>
  <c r="L54" i="7"/>
  <c r="F19" i="6"/>
  <c r="L19" i="8"/>
  <c r="E54" i="5"/>
  <c r="G18" i="8"/>
  <c r="H54" i="10"/>
  <c r="E17" i="7"/>
  <c r="N19" i="6"/>
  <c r="M16" i="4"/>
  <c r="E17" i="9"/>
  <c r="G54" i="8"/>
  <c r="I18" i="5"/>
  <c r="P54" i="8"/>
  <c r="K54" i="5"/>
  <c r="P19" i="6"/>
  <c r="L17" i="4"/>
  <c r="J18" i="11"/>
  <c r="I17" i="9"/>
  <c r="N54" i="7"/>
  <c r="F19" i="8"/>
  <c r="G52" i="6"/>
  <c r="E54" i="4"/>
  <c r="H53" i="11"/>
  <c r="E54" i="11"/>
  <c r="H53" i="8"/>
  <c r="H17" i="5"/>
  <c r="O17" i="9"/>
  <c r="G53" i="6"/>
  <c r="I54" i="4"/>
  <c r="J54" i="7"/>
  <c r="F54" i="5"/>
  <c r="I17" i="4"/>
  <c r="P54" i="11"/>
  <c r="G17" i="9"/>
  <c r="O19" i="8"/>
  <c r="E20" i="10"/>
  <c r="F20" i="10"/>
  <c r="Q18" i="11"/>
  <c r="G19" i="10"/>
  <c r="P17" i="4"/>
  <c r="K19" i="6"/>
  <c r="M18" i="5"/>
  <c r="H17" i="9"/>
  <c r="Q19" i="8"/>
  <c r="G20" i="10"/>
  <c r="O54" i="4"/>
  <c r="J20" i="10"/>
  <c r="O53" i="5"/>
  <c r="P20" i="10"/>
  <c r="M19" i="6"/>
  <c r="G18" i="5"/>
  <c r="L17" i="9"/>
  <c r="J19" i="8"/>
  <c r="L55" i="10"/>
  <c r="Q54" i="11"/>
  <c r="Q17" i="7"/>
  <c r="E54" i="9"/>
  <c r="N54" i="4"/>
  <c r="L17" i="7"/>
  <c r="F17" i="9"/>
  <c r="I19" i="8"/>
  <c r="O53" i="6"/>
  <c r="G54" i="4"/>
  <c r="O54" i="7"/>
  <c r="M54" i="5"/>
  <c r="M18" i="11"/>
  <c r="Q17" i="4"/>
  <c r="N17" i="4"/>
  <c r="M17" i="4"/>
  <c r="J19" i="6"/>
  <c r="Q19" i="6"/>
  <c r="G19" i="6"/>
  <c r="Q18" i="5"/>
  <c r="P18" i="5"/>
  <c r="Q55" i="10"/>
  <c r="I55" i="10"/>
  <c r="N54" i="8"/>
  <c r="L54" i="8"/>
  <c r="M54" i="8"/>
  <c r="F54" i="8"/>
  <c r="P53" i="6"/>
  <c r="L53" i="6"/>
  <c r="Q53" i="6"/>
  <c r="K53" i="6"/>
  <c r="F53" i="6"/>
  <c r="K19" i="8"/>
  <c r="G19" i="8"/>
  <c r="N19" i="8"/>
  <c r="O18" i="11"/>
  <c r="F18" i="11"/>
  <c r="G18" i="11"/>
  <c r="N18" i="11"/>
  <c r="I18" i="11"/>
  <c r="P18" i="11"/>
  <c r="L18" i="11"/>
  <c r="I54" i="5"/>
  <c r="P54" i="5"/>
  <c r="J54" i="5"/>
  <c r="N54" i="5"/>
  <c r="L54" i="5"/>
  <c r="O54" i="5"/>
  <c r="Q54" i="5"/>
  <c r="G54" i="5"/>
  <c r="K17" i="7"/>
  <c r="J17" i="7"/>
  <c r="N17" i="7"/>
  <c r="P17" i="7"/>
  <c r="F17" i="7"/>
  <c r="G17" i="7"/>
  <c r="O17" i="7"/>
  <c r="I17" i="7"/>
  <c r="M17" i="7"/>
  <c r="Q17" i="9"/>
  <c r="N17" i="9"/>
  <c r="P17" i="9"/>
  <c r="J17" i="9"/>
  <c r="K17" i="9"/>
  <c r="M17" i="9"/>
  <c r="K54" i="4"/>
  <c r="P54" i="4"/>
  <c r="Q54" i="4"/>
  <c r="L54" i="4"/>
  <c r="M54" i="4"/>
  <c r="J54" i="4"/>
  <c r="F54" i="4"/>
  <c r="J54" i="11"/>
  <c r="N54" i="11"/>
  <c r="O54" i="11"/>
  <c r="G54" i="11"/>
  <c r="L54" i="11"/>
  <c r="M54" i="11"/>
  <c r="K54" i="11"/>
  <c r="I54" i="11"/>
  <c r="F54" i="11"/>
  <c r="L20" i="10"/>
  <c r="I20" i="10"/>
  <c r="O20" i="10"/>
  <c r="N20" i="10"/>
  <c r="M20" i="10"/>
  <c r="K20" i="10"/>
  <c r="Q54" i="9"/>
  <c r="P54" i="9"/>
  <c r="O54" i="9"/>
  <c r="M54" i="9"/>
  <c r="K54" i="9"/>
  <c r="G54" i="9"/>
  <c r="J54" i="9"/>
  <c r="F54" i="9"/>
  <c r="H54" i="9"/>
  <c r="I54" i="9"/>
  <c r="N54" i="9"/>
  <c r="C56" i="11" l="1"/>
  <c r="C22" i="10"/>
  <c r="C57" i="10"/>
  <c r="C20" i="11"/>
  <c r="C56" i="9"/>
  <c r="C19" i="9"/>
  <c r="C56" i="8"/>
  <c r="C21" i="8"/>
  <c r="C19" i="7"/>
  <c r="C56" i="7"/>
  <c r="C21" i="6"/>
  <c r="C55" i="6"/>
  <c r="C56" i="5"/>
  <c r="C20" i="5"/>
  <c r="C56" i="4"/>
  <c r="C19" i="4"/>
  <c r="H19" i="6"/>
  <c r="E56" i="10"/>
  <c r="E18" i="7"/>
  <c r="J18" i="7"/>
  <c r="K18" i="7"/>
  <c r="J18" i="5"/>
  <c r="H20" i="10"/>
  <c r="H54" i="8"/>
  <c r="E19" i="5"/>
  <c r="J19" i="5" s="1"/>
  <c r="H54" i="11"/>
  <c r="E21" i="10"/>
  <c r="H54" i="5"/>
  <c r="O18" i="7"/>
  <c r="I18" i="7"/>
  <c r="O21" i="10"/>
  <c r="E55" i="9"/>
  <c r="H55" i="9"/>
  <c r="P56" i="10"/>
  <c r="J56" i="10"/>
  <c r="L18" i="7"/>
  <c r="E55" i="8"/>
  <c r="H19" i="8"/>
  <c r="E20" i="6"/>
  <c r="K20" i="6"/>
  <c r="Q21" i="10"/>
  <c r="F19" i="5"/>
  <c r="H17" i="7"/>
  <c r="M19" i="8"/>
  <c r="L55" i="9"/>
  <c r="Q20" i="10"/>
  <c r="G21" i="10"/>
  <c r="N21" i="10"/>
  <c r="M56" i="10"/>
  <c r="E19" i="11"/>
  <c r="L19" i="11"/>
  <c r="F21" i="10"/>
  <c r="P19" i="5"/>
  <c r="G19" i="11"/>
  <c r="O19" i="5"/>
  <c r="F55" i="8"/>
  <c r="N55" i="9"/>
  <c r="H54" i="4"/>
  <c r="H18" i="5"/>
  <c r="J55" i="9"/>
  <c r="P18" i="7"/>
  <c r="J21" i="10"/>
  <c r="E55" i="11"/>
  <c r="E55" i="7"/>
  <c r="I55" i="7"/>
  <c r="I21" i="10"/>
  <c r="K55" i="8"/>
  <c r="N20" i="6"/>
  <c r="K19" i="11"/>
  <c r="F56" i="10"/>
  <c r="E18" i="9"/>
  <c r="G55" i="9"/>
  <c r="P21" i="10"/>
  <c r="P19" i="11"/>
  <c r="H55" i="10"/>
  <c r="L21" i="10"/>
  <c r="F18" i="9"/>
  <c r="I19" i="11"/>
  <c r="H18" i="11"/>
  <c r="F55" i="7"/>
  <c r="P55" i="7"/>
  <c r="M55" i="9"/>
  <c r="E18" i="4"/>
  <c r="G56" i="10"/>
  <c r="P18" i="9"/>
  <c r="N55" i="7"/>
  <c r="I55" i="8"/>
  <c r="M20" i="6"/>
  <c r="H17" i="4"/>
  <c r="O56" i="10"/>
  <c r="N56" i="10"/>
  <c r="M21" i="10"/>
  <c r="M55" i="8"/>
  <c r="F20" i="6"/>
  <c r="K18" i="9"/>
  <c r="K21" i="10"/>
  <c r="L20" i="6"/>
  <c r="L54" i="9"/>
  <c r="K18" i="4"/>
  <c r="L18" i="9"/>
  <c r="K56" i="10"/>
  <c r="M19" i="5"/>
  <c r="I19" i="5"/>
  <c r="E20" i="8"/>
  <c r="O55" i="9"/>
  <c r="Q18" i="4"/>
  <c r="Q20" i="8"/>
  <c r="N18" i="4"/>
  <c r="E55" i="5"/>
  <c r="P55" i="8"/>
  <c r="M18" i="4"/>
  <c r="Q55" i="11"/>
  <c r="Q20" i="6"/>
  <c r="Q18" i="7"/>
  <c r="Q18" i="9"/>
  <c r="N55" i="5"/>
  <c r="N55" i="8"/>
  <c r="I55" i="11"/>
  <c r="H20" i="6"/>
  <c r="K55" i="7"/>
  <c r="Q55" i="9"/>
  <c r="K19" i="5"/>
  <c r="L55" i="11"/>
  <c r="L20" i="8"/>
  <c r="E55" i="4"/>
  <c r="P55" i="4"/>
  <c r="Q56" i="10"/>
  <c r="P55" i="9"/>
  <c r="H53" i="6"/>
  <c r="F55" i="9"/>
  <c r="Q19" i="5"/>
  <c r="N18" i="7"/>
  <c r="J55" i="10"/>
  <c r="M18" i="7"/>
  <c r="N18" i="9"/>
  <c r="L19" i="5"/>
  <c r="Q55" i="8"/>
  <c r="K55" i="11"/>
  <c r="G20" i="6"/>
  <c r="O55" i="7"/>
  <c r="J55" i="8"/>
  <c r="F18" i="7"/>
  <c r="G19" i="5"/>
  <c r="N55" i="11"/>
  <c r="L55" i="7"/>
  <c r="P18" i="4"/>
  <c r="L18" i="4"/>
  <c r="E54" i="6"/>
  <c r="J19" i="11"/>
  <c r="N19" i="5"/>
  <c r="M19" i="11"/>
  <c r="L56" i="10"/>
  <c r="I56" i="10"/>
  <c r="I55" i="5"/>
  <c r="P54" i="6"/>
  <c r="K55" i="9"/>
  <c r="I55" i="9"/>
  <c r="G55" i="8"/>
  <c r="O55" i="8"/>
  <c r="J20" i="6"/>
  <c r="P20" i="6"/>
  <c r="O20" i="6"/>
  <c r="F19" i="11"/>
  <c r="N19" i="11"/>
  <c r="Q19" i="11"/>
  <c r="O19" i="11"/>
  <c r="O55" i="11"/>
  <c r="F55" i="11"/>
  <c r="M55" i="11"/>
  <c r="J55" i="11"/>
  <c r="P55" i="11"/>
  <c r="G55" i="7"/>
  <c r="Q55" i="7"/>
  <c r="M55" i="7"/>
  <c r="J55" i="7"/>
  <c r="I18" i="9"/>
  <c r="G18" i="9"/>
  <c r="H18" i="9"/>
  <c r="M18" i="9"/>
  <c r="O18" i="9"/>
  <c r="J18" i="9"/>
  <c r="G18" i="4"/>
  <c r="J18" i="4"/>
  <c r="O18" i="4"/>
  <c r="I18" i="4"/>
  <c r="P20" i="8"/>
  <c r="N20" i="8"/>
  <c r="I20" i="8"/>
  <c r="O20" i="8"/>
  <c r="G20" i="8"/>
  <c r="K20" i="8"/>
  <c r="F20" i="8"/>
  <c r="M20" i="8"/>
  <c r="M55" i="5"/>
  <c r="K55" i="5"/>
  <c r="O55" i="5"/>
  <c r="Q55" i="5"/>
  <c r="F55" i="5"/>
  <c r="P55" i="5"/>
  <c r="G55" i="5"/>
  <c r="J55" i="5"/>
  <c r="L55" i="5"/>
  <c r="F55" i="4"/>
  <c r="Q55" i="4"/>
  <c r="K55" i="4"/>
  <c r="N55" i="4"/>
  <c r="I55" i="4"/>
  <c r="G55" i="4"/>
  <c r="L55" i="4"/>
  <c r="J55" i="4"/>
  <c r="M55" i="4"/>
  <c r="G54" i="6"/>
  <c r="F54" i="6"/>
  <c r="N54" i="6"/>
  <c r="Q54" i="6"/>
  <c r="K54" i="6"/>
  <c r="O54" i="6"/>
  <c r="I54" i="6"/>
  <c r="M54" i="6"/>
  <c r="L54" i="6"/>
  <c r="J54" i="6"/>
  <c r="C57" i="11" l="1"/>
  <c r="C21" i="11"/>
  <c r="C58" i="10"/>
  <c r="C23" i="10"/>
  <c r="C57" i="9"/>
  <c r="C22" i="8"/>
  <c r="C20" i="9"/>
  <c r="C57" i="8"/>
  <c r="C20" i="7"/>
  <c r="C56" i="6"/>
  <c r="C22" i="6"/>
  <c r="C57" i="7"/>
  <c r="C21" i="5"/>
  <c r="C57" i="5"/>
  <c r="C57" i="4"/>
  <c r="C20" i="4"/>
  <c r="F18" i="4"/>
  <c r="E19" i="7"/>
  <c r="G18" i="7"/>
  <c r="H21" i="10"/>
  <c r="H55" i="11"/>
  <c r="N19" i="7"/>
  <c r="H19" i="11"/>
  <c r="L19" i="7"/>
  <c r="F19" i="7"/>
  <c r="H55" i="5"/>
  <c r="H56" i="10"/>
  <c r="H54" i="6"/>
  <c r="E57" i="10"/>
  <c r="E19" i="9"/>
  <c r="E20" i="11"/>
  <c r="F20" i="11"/>
  <c r="J19" i="9"/>
  <c r="Q57" i="10"/>
  <c r="P20" i="11"/>
  <c r="O57" i="10"/>
  <c r="E19" i="4"/>
  <c r="P19" i="7"/>
  <c r="E56" i="9"/>
  <c r="J19" i="7"/>
  <c r="Q56" i="9"/>
  <c r="H55" i="7"/>
  <c r="N19" i="9"/>
  <c r="G20" i="11"/>
  <c r="M57" i="10"/>
  <c r="L55" i="8"/>
  <c r="M19" i="4"/>
  <c r="I20" i="6"/>
  <c r="H55" i="4"/>
  <c r="G19" i="7"/>
  <c r="E56" i="8"/>
  <c r="Q19" i="7"/>
  <c r="J20" i="11"/>
  <c r="E55" i="6"/>
  <c r="I20" i="11"/>
  <c r="Q56" i="8"/>
  <c r="P57" i="10"/>
  <c r="J55" i="6"/>
  <c r="E56" i="7"/>
  <c r="Q19" i="9"/>
  <c r="E22" i="10"/>
  <c r="M22" i="10"/>
  <c r="J20" i="8"/>
  <c r="O20" i="11"/>
  <c r="J57" i="10"/>
  <c r="P55" i="6"/>
  <c r="H18" i="4"/>
  <c r="E21" i="8"/>
  <c r="E56" i="11"/>
  <c r="N21" i="8"/>
  <c r="F55" i="6"/>
  <c r="Q20" i="11"/>
  <c r="K57" i="10"/>
  <c r="N55" i="6"/>
  <c r="O55" i="4"/>
  <c r="H18" i="7"/>
  <c r="P21" i="8"/>
  <c r="J19" i="4"/>
  <c r="N56" i="9"/>
  <c r="L55" i="6"/>
  <c r="H20" i="8"/>
  <c r="H19" i="5"/>
  <c r="F57" i="10"/>
  <c r="L57" i="10"/>
  <c r="I19" i="7"/>
  <c r="E20" i="5"/>
  <c r="I56" i="11"/>
  <c r="O56" i="8"/>
  <c r="K20" i="5"/>
  <c r="E56" i="4"/>
  <c r="K56" i="7"/>
  <c r="P19" i="4"/>
  <c r="G55" i="11"/>
  <c r="J56" i="7"/>
  <c r="O56" i="7"/>
  <c r="F56" i="11"/>
  <c r="I56" i="7"/>
  <c r="Q56" i="7"/>
  <c r="O19" i="4"/>
  <c r="L56" i="11"/>
  <c r="G56" i="9"/>
  <c r="N57" i="10"/>
  <c r="L20" i="5"/>
  <c r="M55" i="6"/>
  <c r="O19" i="7"/>
  <c r="K56" i="8"/>
  <c r="F21" i="8"/>
  <c r="P56" i="11"/>
  <c r="E56" i="5"/>
  <c r="K19" i="9"/>
  <c r="H56" i="9"/>
  <c r="G56" i="5"/>
  <c r="I19" i="4"/>
  <c r="N56" i="11"/>
  <c r="M56" i="5"/>
  <c r="L20" i="11"/>
  <c r="E21" i="6"/>
  <c r="F56" i="9"/>
  <c r="M56" i="8"/>
  <c r="I55" i="6"/>
  <c r="H55" i="8"/>
  <c r="N56" i="5"/>
  <c r="J56" i="11"/>
  <c r="I57" i="10"/>
  <c r="G57" i="10"/>
  <c r="M19" i="9"/>
  <c r="G19" i="9"/>
  <c r="H19" i="9"/>
  <c r="O19" i="9"/>
  <c r="I19" i="9"/>
  <c r="N20" i="11"/>
  <c r="K20" i="11"/>
  <c r="M20" i="11"/>
  <c r="K19" i="4"/>
  <c r="F19" i="4"/>
  <c r="N19" i="4"/>
  <c r="L19" i="4"/>
  <c r="I56" i="9"/>
  <c r="K56" i="9"/>
  <c r="M56" i="9"/>
  <c r="O56" i="9"/>
  <c r="L56" i="9"/>
  <c r="J56" i="9"/>
  <c r="F56" i="8"/>
  <c r="G56" i="8"/>
  <c r="J56" i="8"/>
  <c r="P56" i="8"/>
  <c r="N56" i="8"/>
  <c r="I56" i="8"/>
  <c r="L56" i="8"/>
  <c r="O55" i="6"/>
  <c r="Q55" i="6"/>
  <c r="K55" i="6"/>
  <c r="G55" i="6"/>
  <c r="L56" i="7"/>
  <c r="F56" i="7"/>
  <c r="N56" i="7"/>
  <c r="P56" i="7"/>
  <c r="G56" i="7"/>
  <c r="M56" i="7"/>
  <c r="K22" i="10"/>
  <c r="L22" i="10"/>
  <c r="G22" i="10"/>
  <c r="F22" i="10"/>
  <c r="P22" i="10"/>
  <c r="I22" i="10"/>
  <c r="N22" i="10"/>
  <c r="Q22" i="10"/>
  <c r="J22" i="10"/>
  <c r="I21" i="8"/>
  <c r="J21" i="8"/>
  <c r="O21" i="8"/>
  <c r="K21" i="8"/>
  <c r="L21" i="8"/>
  <c r="Q21" i="8"/>
  <c r="G21" i="8"/>
  <c r="G56" i="11"/>
  <c r="K56" i="11"/>
  <c r="O56" i="11"/>
  <c r="M56" i="11"/>
  <c r="F20" i="5"/>
  <c r="G20" i="5"/>
  <c r="P20" i="5"/>
  <c r="Q20" i="5"/>
  <c r="M20" i="5"/>
  <c r="I20" i="5"/>
  <c r="N20" i="5"/>
  <c r="J20" i="5"/>
  <c r="O20" i="5"/>
  <c r="K56" i="4"/>
  <c r="J56" i="4"/>
  <c r="Q56" i="4"/>
  <c r="O56" i="4"/>
  <c r="F56" i="4"/>
  <c r="N56" i="4"/>
  <c r="P56" i="4"/>
  <c r="I56" i="4"/>
  <c r="L56" i="4"/>
  <c r="G56" i="4"/>
  <c r="K56" i="5"/>
  <c r="P56" i="5"/>
  <c r="O56" i="5"/>
  <c r="Q56" i="5"/>
  <c r="J56" i="5"/>
  <c r="I56" i="5"/>
  <c r="F21" i="6"/>
  <c r="P21" i="6"/>
  <c r="M21" i="6"/>
  <c r="I21" i="6"/>
  <c r="K21" i="6"/>
  <c r="Q21" i="6"/>
  <c r="O21" i="6"/>
  <c r="L21" i="6"/>
  <c r="J21" i="6"/>
  <c r="N21" i="6"/>
  <c r="G21" i="6"/>
  <c r="C58" i="11" l="1"/>
  <c r="C24" i="10"/>
  <c r="C59" i="10"/>
  <c r="C22" i="11"/>
  <c r="C58" i="8"/>
  <c r="C21" i="9"/>
  <c r="C23" i="8"/>
  <c r="C58" i="9"/>
  <c r="C21" i="7"/>
  <c r="C23" i="6"/>
  <c r="C58" i="7"/>
  <c r="C57" i="6"/>
  <c r="C22" i="5"/>
  <c r="C58" i="5"/>
  <c r="C58" i="4"/>
  <c r="C21" i="4"/>
  <c r="H55" i="6"/>
  <c r="M56" i="4"/>
  <c r="H56" i="11"/>
  <c r="E57" i="7"/>
  <c r="N57" i="7"/>
  <c r="P19" i="9"/>
  <c r="H21" i="6"/>
  <c r="F57" i="7"/>
  <c r="H57" i="10"/>
  <c r="E22" i="6"/>
  <c r="K22" i="6" s="1"/>
  <c r="E57" i="9"/>
  <c r="E20" i="9"/>
  <c r="O57" i="7"/>
  <c r="J57" i="7"/>
  <c r="F57" i="9"/>
  <c r="P57" i="7"/>
  <c r="Q56" i="11"/>
  <c r="N22" i="6"/>
  <c r="P20" i="9"/>
  <c r="G19" i="4"/>
  <c r="P22" i="6"/>
  <c r="E57" i="5"/>
  <c r="K57" i="5" s="1"/>
  <c r="J22" i="6"/>
  <c r="M19" i="7"/>
  <c r="H22" i="10"/>
  <c r="F57" i="5"/>
  <c r="E21" i="11"/>
  <c r="Q19" i="4"/>
  <c r="H56" i="4"/>
  <c r="H21" i="8"/>
  <c r="K20" i="9"/>
  <c r="P56" i="9"/>
  <c r="L19" i="9"/>
  <c r="M21" i="11"/>
  <c r="L20" i="9"/>
  <c r="Q57" i="7"/>
  <c r="E57" i="11"/>
  <c r="G57" i="5"/>
  <c r="H57" i="9"/>
  <c r="J57" i="5"/>
  <c r="J20" i="9"/>
  <c r="H56" i="8"/>
  <c r="H19" i="4"/>
  <c r="E23" i="10"/>
  <c r="F56" i="5"/>
  <c r="N20" i="9"/>
  <c r="O21" i="11"/>
  <c r="I20" i="9"/>
  <c r="G21" i="11"/>
  <c r="O22" i="10"/>
  <c r="O22" i="6"/>
  <c r="N57" i="5"/>
  <c r="E57" i="8"/>
  <c r="L57" i="9"/>
  <c r="M57" i="11"/>
  <c r="H19" i="7"/>
  <c r="H56" i="7"/>
  <c r="G23" i="10"/>
  <c r="E20" i="7"/>
  <c r="L57" i="7"/>
  <c r="E20" i="4"/>
  <c r="M20" i="7"/>
  <c r="O57" i="5"/>
  <c r="G22" i="6"/>
  <c r="Q20" i="9"/>
  <c r="K20" i="7"/>
  <c r="N57" i="8"/>
  <c r="N20" i="4"/>
  <c r="N57" i="11"/>
  <c r="O57" i="11"/>
  <c r="N21" i="11"/>
  <c r="Q57" i="11"/>
  <c r="O20" i="9"/>
  <c r="O57" i="9"/>
  <c r="K57" i="9"/>
  <c r="K57" i="11"/>
  <c r="K57" i="8"/>
  <c r="Q22" i="6"/>
  <c r="G20" i="9"/>
  <c r="L57" i="8"/>
  <c r="G20" i="4"/>
  <c r="P57" i="9"/>
  <c r="I57" i="5"/>
  <c r="L57" i="5"/>
  <c r="M23" i="10"/>
  <c r="E58" i="10"/>
  <c r="E21" i="5"/>
  <c r="Q21" i="5"/>
  <c r="K21" i="11"/>
  <c r="H20" i="5"/>
  <c r="Q57" i="5"/>
  <c r="E56" i="6"/>
  <c r="F21" i="5"/>
  <c r="F19" i="9"/>
  <c r="M21" i="5"/>
  <c r="F22" i="6"/>
  <c r="I57" i="9"/>
  <c r="I22" i="6"/>
  <c r="F20" i="9"/>
  <c r="K56" i="6"/>
  <c r="P57" i="8"/>
  <c r="M20" i="4"/>
  <c r="M21" i="8"/>
  <c r="N21" i="5"/>
  <c r="L56" i="5"/>
  <c r="N23" i="10"/>
  <c r="I23" i="10"/>
  <c r="H20" i="9"/>
  <c r="G20" i="7"/>
  <c r="Q57" i="9"/>
  <c r="J57" i="11"/>
  <c r="H22" i="6"/>
  <c r="M20" i="9"/>
  <c r="J56" i="6"/>
  <c r="Q57" i="8"/>
  <c r="I20" i="4"/>
  <c r="K19" i="7"/>
  <c r="H20" i="11"/>
  <c r="E57" i="4"/>
  <c r="P57" i="4"/>
  <c r="H56" i="5"/>
  <c r="O21" i="5"/>
  <c r="O56" i="6"/>
  <c r="M22" i="6"/>
  <c r="L22" i="6"/>
  <c r="J57" i="9"/>
  <c r="L21" i="11"/>
  <c r="E22" i="8"/>
  <c r="P20" i="7"/>
  <c r="M57" i="7"/>
  <c r="I57" i="7"/>
  <c r="K57" i="7"/>
  <c r="G57" i="9"/>
  <c r="M57" i="9"/>
  <c r="P21" i="11"/>
  <c r="F21" i="11"/>
  <c r="J21" i="11"/>
  <c r="I21" i="11"/>
  <c r="Q21" i="11"/>
  <c r="I57" i="11"/>
  <c r="L57" i="11"/>
  <c r="G57" i="11"/>
  <c r="P23" i="10"/>
  <c r="K23" i="10"/>
  <c r="Q23" i="10"/>
  <c r="J23" i="10"/>
  <c r="F23" i="10"/>
  <c r="L23" i="10"/>
  <c r="O23" i="10"/>
  <c r="F57" i="8"/>
  <c r="O57" i="8"/>
  <c r="I57" i="8"/>
  <c r="M57" i="8"/>
  <c r="G57" i="8"/>
  <c r="L20" i="7"/>
  <c r="H20" i="7"/>
  <c r="Q20" i="7"/>
  <c r="N20" i="7"/>
  <c r="J20" i="7"/>
  <c r="F20" i="7"/>
  <c r="I20" i="7"/>
  <c r="P20" i="4"/>
  <c r="Q20" i="4"/>
  <c r="K20" i="4"/>
  <c r="J20" i="4"/>
  <c r="F20" i="4"/>
  <c r="L20" i="4"/>
  <c r="O20" i="4"/>
  <c r="G58" i="10"/>
  <c r="O58" i="10"/>
  <c r="M58" i="10"/>
  <c r="P58" i="10"/>
  <c r="Q58" i="10"/>
  <c r="I58" i="10"/>
  <c r="K58" i="10"/>
  <c r="L58" i="10"/>
  <c r="J58" i="10"/>
  <c r="F58" i="10"/>
  <c r="P21" i="5"/>
  <c r="J21" i="5"/>
  <c r="K21" i="5"/>
  <c r="L21" i="5"/>
  <c r="I21" i="5"/>
  <c r="F56" i="6"/>
  <c r="L56" i="6"/>
  <c r="N56" i="6"/>
  <c r="Q56" i="6"/>
  <c r="P56" i="6"/>
  <c r="G56" i="6"/>
  <c r="I56" i="6"/>
  <c r="M56" i="6"/>
  <c r="F57" i="4"/>
  <c r="N57" i="4"/>
  <c r="L57" i="4"/>
  <c r="Q57" i="4"/>
  <c r="O57" i="4"/>
  <c r="G57" i="4"/>
  <c r="J57" i="4"/>
  <c r="M57" i="4"/>
  <c r="K57" i="4"/>
  <c r="I57" i="4"/>
  <c r="M22" i="8"/>
  <c r="N22" i="8"/>
  <c r="F22" i="8"/>
  <c r="L22" i="8"/>
  <c r="P22" i="8"/>
  <c r="Q22" i="8"/>
  <c r="K22" i="8"/>
  <c r="G22" i="8"/>
  <c r="I22" i="8"/>
  <c r="J22" i="8"/>
  <c r="C23" i="11" l="1"/>
  <c r="C60" i="10"/>
  <c r="C25" i="10"/>
  <c r="C59" i="11"/>
  <c r="C22" i="9"/>
  <c r="C59" i="9"/>
  <c r="C24" i="8"/>
  <c r="C59" i="8"/>
  <c r="C22" i="7"/>
  <c r="C59" i="7"/>
  <c r="C58" i="6"/>
  <c r="C24" i="6"/>
  <c r="C59" i="5"/>
  <c r="C23" i="5"/>
  <c r="C59" i="4"/>
  <c r="C22" i="4"/>
  <c r="O22" i="8"/>
  <c r="E59" i="10"/>
  <c r="N57" i="9"/>
  <c r="F59" i="10"/>
  <c r="E23" i="8"/>
  <c r="L23" i="8" s="1"/>
  <c r="G21" i="5"/>
  <c r="J59" i="10"/>
  <c r="K59" i="10"/>
  <c r="H56" i="6"/>
  <c r="O59" i="10"/>
  <c r="K23" i="8"/>
  <c r="M23" i="8"/>
  <c r="N23" i="8"/>
  <c r="F57" i="11"/>
  <c r="H21" i="5"/>
  <c r="L59" i="10"/>
  <c r="H23" i="10"/>
  <c r="E22" i="5"/>
  <c r="E22" i="11"/>
  <c r="P23" i="8"/>
  <c r="F23" i="8"/>
  <c r="I22" i="11"/>
  <c r="G22" i="5"/>
  <c r="M59" i="10"/>
  <c r="E21" i="9"/>
  <c r="P21" i="9"/>
  <c r="Q23" i="8"/>
  <c r="P22" i="11"/>
  <c r="O23" i="8"/>
  <c r="N58" i="10"/>
  <c r="J23" i="8"/>
  <c r="F22" i="11"/>
  <c r="G59" i="10"/>
  <c r="J57" i="8"/>
  <c r="I23" i="8"/>
  <c r="J22" i="11"/>
  <c r="H57" i="11"/>
  <c r="H57" i="4"/>
  <c r="G22" i="11"/>
  <c r="H20" i="4"/>
  <c r="E57" i="6"/>
  <c r="E58" i="11"/>
  <c r="P57" i="11"/>
  <c r="Q22" i="5"/>
  <c r="O20" i="7"/>
  <c r="F57" i="6"/>
  <c r="M22" i="11"/>
  <c r="E58" i="9"/>
  <c r="N57" i="6"/>
  <c r="N22" i="11"/>
  <c r="H21" i="9"/>
  <c r="L58" i="9"/>
  <c r="E58" i="4"/>
  <c r="G58" i="4"/>
  <c r="E21" i="4"/>
  <c r="E21" i="7"/>
  <c r="M57" i="5"/>
  <c r="G57" i="6"/>
  <c r="O22" i="5"/>
  <c r="N21" i="7"/>
  <c r="Q21" i="9"/>
  <c r="O58" i="9"/>
  <c r="L22" i="5"/>
  <c r="L58" i="11"/>
  <c r="O58" i="11"/>
  <c r="K21" i="9"/>
  <c r="E58" i="7"/>
  <c r="G21" i="7"/>
  <c r="E58" i="5"/>
  <c r="E23" i="6"/>
  <c r="P57" i="6"/>
  <c r="J23" i="6"/>
  <c r="N22" i="5"/>
  <c r="N21" i="9"/>
  <c r="Q21" i="7"/>
  <c r="P21" i="7"/>
  <c r="H58" i="9"/>
  <c r="K58" i="11"/>
  <c r="K21" i="4"/>
  <c r="H57" i="7"/>
  <c r="K21" i="7"/>
  <c r="M58" i="7"/>
  <c r="H57" i="5"/>
  <c r="Q59" i="10"/>
  <c r="P58" i="7"/>
  <c r="O58" i="5"/>
  <c r="G58" i="5"/>
  <c r="O58" i="4"/>
  <c r="N21" i="4"/>
  <c r="E58" i="8"/>
  <c r="O21" i="7"/>
  <c r="I58" i="11"/>
  <c r="H57" i="8"/>
  <c r="H21" i="11"/>
  <c r="I58" i="7"/>
  <c r="E24" i="10"/>
  <c r="P58" i="11"/>
  <c r="L21" i="7"/>
  <c r="Q22" i="11"/>
  <c r="I23" i="6"/>
  <c r="O58" i="7"/>
  <c r="G58" i="9"/>
  <c r="L58" i="5"/>
  <c r="H22" i="8"/>
  <c r="F58" i="8"/>
  <c r="F58" i="11"/>
  <c r="L21" i="9"/>
  <c r="L21" i="4"/>
  <c r="G21" i="9"/>
  <c r="N58" i="9"/>
  <c r="J58" i="5"/>
  <c r="G58" i="11"/>
  <c r="L58" i="4"/>
  <c r="K58" i="8"/>
  <c r="I59" i="10"/>
  <c r="G21" i="4"/>
  <c r="J21" i="9"/>
  <c r="J24" i="10"/>
  <c r="G57" i="7"/>
  <c r="P59" i="10"/>
  <c r="N59" i="10"/>
  <c r="F21" i="7"/>
  <c r="N58" i="8"/>
  <c r="M58" i="9"/>
  <c r="H58" i="10"/>
  <c r="P57" i="5"/>
  <c r="Q23" i="6"/>
  <c r="M22" i="5"/>
  <c r="F22" i="5"/>
  <c r="P22" i="5"/>
  <c r="J22" i="5"/>
  <c r="I22" i="5"/>
  <c r="L22" i="11"/>
  <c r="K22" i="11"/>
  <c r="O22" i="11"/>
  <c r="I21" i="9"/>
  <c r="F21" i="9"/>
  <c r="M21" i="9"/>
  <c r="O21" i="9"/>
  <c r="O57" i="6"/>
  <c r="J57" i="6"/>
  <c r="M57" i="6"/>
  <c r="Q57" i="6"/>
  <c r="L57" i="6"/>
  <c r="K57" i="6"/>
  <c r="I57" i="6"/>
  <c r="Q58" i="11"/>
  <c r="N58" i="11"/>
  <c r="J58" i="11"/>
  <c r="M58" i="11"/>
  <c r="I58" i="9"/>
  <c r="Q58" i="9"/>
  <c r="J58" i="9"/>
  <c r="P58" i="9"/>
  <c r="F58" i="9"/>
  <c r="K58" i="4"/>
  <c r="I58" i="4"/>
  <c r="P58" i="4"/>
  <c r="N58" i="4"/>
  <c r="Q58" i="4"/>
  <c r="M58" i="4"/>
  <c r="O21" i="4"/>
  <c r="F21" i="4"/>
  <c r="M21" i="4"/>
  <c r="P21" i="4"/>
  <c r="J21" i="4"/>
  <c r="Q21" i="4"/>
  <c r="I21" i="4"/>
  <c r="I21" i="7"/>
  <c r="M21" i="7"/>
  <c r="J21" i="7"/>
  <c r="L58" i="7"/>
  <c r="N58" i="7"/>
  <c r="K58" i="7"/>
  <c r="F58" i="7"/>
  <c r="G58" i="7"/>
  <c r="Q58" i="7"/>
  <c r="J58" i="7"/>
  <c r="K58" i="5"/>
  <c r="M58" i="5"/>
  <c r="P58" i="5"/>
  <c r="N58" i="5"/>
  <c r="I58" i="5"/>
  <c r="Q58" i="5"/>
  <c r="O23" i="6"/>
  <c r="M23" i="6"/>
  <c r="K23" i="6"/>
  <c r="P23" i="6"/>
  <c r="F23" i="6"/>
  <c r="L23" i="6"/>
  <c r="N23" i="6"/>
  <c r="G23" i="6"/>
  <c r="H23" i="6"/>
  <c r="J58" i="8"/>
  <c r="Q58" i="8"/>
  <c r="P58" i="8"/>
  <c r="I58" i="8"/>
  <c r="G58" i="8"/>
  <c r="O58" i="8"/>
  <c r="M58" i="8"/>
  <c r="G24" i="10"/>
  <c r="L24" i="10"/>
  <c r="N24" i="10"/>
  <c r="O24" i="10"/>
  <c r="I24" i="10"/>
  <c r="K24" i="10"/>
  <c r="P24" i="10"/>
  <c r="F24" i="10"/>
  <c r="M24" i="10"/>
  <c r="C60" i="11" l="1"/>
  <c r="C26" i="10"/>
  <c r="C61" i="10"/>
  <c r="C24" i="11"/>
  <c r="C60" i="8"/>
  <c r="C60" i="9"/>
  <c r="C25" i="8"/>
  <c r="C23" i="9"/>
  <c r="C25" i="6"/>
  <c r="C23" i="7"/>
  <c r="C59" i="6"/>
  <c r="C60" i="7"/>
  <c r="C24" i="5"/>
  <c r="C60" i="5"/>
  <c r="C60" i="4"/>
  <c r="C23" i="4"/>
  <c r="H22" i="11"/>
  <c r="K58" i="9"/>
  <c r="E22" i="9"/>
  <c r="P22" i="9" s="1"/>
  <c r="G22" i="9"/>
  <c r="H23" i="8"/>
  <c r="M22" i="9"/>
  <c r="H21" i="4"/>
  <c r="E59" i="9"/>
  <c r="E23" i="5"/>
  <c r="E22" i="4"/>
  <c r="I22" i="4" s="1"/>
  <c r="E24" i="8"/>
  <c r="L24" i="8"/>
  <c r="K23" i="5"/>
  <c r="L22" i="9"/>
  <c r="F24" i="8"/>
  <c r="E60" i="10"/>
  <c r="H22" i="5"/>
  <c r="G59" i="9"/>
  <c r="I23" i="5"/>
  <c r="E58" i="6"/>
  <c r="H58" i="11"/>
  <c r="K22" i="9"/>
  <c r="N58" i="6"/>
  <c r="H58" i="5"/>
  <c r="H58" i="8"/>
  <c r="E22" i="7"/>
  <c r="I22" i="7" s="1"/>
  <c r="I22" i="9"/>
  <c r="L60" i="10"/>
  <c r="N22" i="4"/>
  <c r="O59" i="9"/>
  <c r="F22" i="9"/>
  <c r="E59" i="8"/>
  <c r="N22" i="9"/>
  <c r="K60" i="10"/>
  <c r="N23" i="5"/>
  <c r="L58" i="8"/>
  <c r="Q22" i="4"/>
  <c r="K22" i="7"/>
  <c r="P58" i="6"/>
  <c r="E23" i="11"/>
  <c r="K22" i="5"/>
  <c r="F60" i="10"/>
  <c r="Q60" i="10"/>
  <c r="G22" i="4"/>
  <c r="O22" i="9"/>
  <c r="F58" i="5"/>
  <c r="O23" i="5"/>
  <c r="L22" i="7"/>
  <c r="J58" i="6"/>
  <c r="J59" i="9"/>
  <c r="P59" i="9"/>
  <c r="E59" i="7"/>
  <c r="K22" i="4"/>
  <c r="J22" i="7"/>
  <c r="L58" i="6"/>
  <c r="H21" i="7"/>
  <c r="N23" i="11"/>
  <c r="J22" i="4"/>
  <c r="O24" i="8"/>
  <c r="P59" i="8"/>
  <c r="K59" i="7"/>
  <c r="Q22" i="9"/>
  <c r="K23" i="11"/>
  <c r="N22" i="7"/>
  <c r="F23" i="11"/>
  <c r="Q58" i="6"/>
  <c r="Q22" i="7"/>
  <c r="K58" i="6"/>
  <c r="J23" i="11"/>
  <c r="N59" i="9"/>
  <c r="E59" i="5"/>
  <c r="J60" i="10"/>
  <c r="F23" i="5"/>
  <c r="H59" i="10"/>
  <c r="O22" i="4"/>
  <c r="M23" i="5"/>
  <c r="H58" i="4"/>
  <c r="I23" i="11"/>
  <c r="F22" i="4"/>
  <c r="O22" i="7"/>
  <c r="J22" i="9"/>
  <c r="O58" i="6"/>
  <c r="K59" i="8"/>
  <c r="J58" i="4"/>
  <c r="G23" i="8"/>
  <c r="E59" i="4"/>
  <c r="O60" i="10"/>
  <c r="I59" i="9"/>
  <c r="L59" i="7"/>
  <c r="F59" i="7"/>
  <c r="P22" i="7"/>
  <c r="E25" i="10"/>
  <c r="G23" i="11"/>
  <c r="M22" i="4"/>
  <c r="F22" i="7"/>
  <c r="Q24" i="8"/>
  <c r="I58" i="6"/>
  <c r="M25" i="10"/>
  <c r="G59" i="8"/>
  <c r="G60" i="10"/>
  <c r="H57" i="6"/>
  <c r="L59" i="9"/>
  <c r="I60" i="10"/>
  <c r="Q59" i="9"/>
  <c r="E59" i="11"/>
  <c r="L22" i="4"/>
  <c r="H22" i="9"/>
  <c r="G58" i="6"/>
  <c r="I59" i="8"/>
  <c r="Q59" i="4"/>
  <c r="F58" i="4"/>
  <c r="J23" i="5"/>
  <c r="P59" i="7"/>
  <c r="K59" i="9"/>
  <c r="J24" i="8"/>
  <c r="G59" i="11"/>
  <c r="H58" i="7"/>
  <c r="J59" i="5"/>
  <c r="Q24" i="10"/>
  <c r="H24" i="10"/>
  <c r="M22" i="7"/>
  <c r="M59" i="9"/>
  <c r="G24" i="8"/>
  <c r="J59" i="11"/>
  <c r="P23" i="11"/>
  <c r="N60" i="10"/>
  <c r="E24" i="6"/>
  <c r="F59" i="5"/>
  <c r="Q23" i="5"/>
  <c r="O24" i="6"/>
  <c r="K25" i="10"/>
  <c r="O59" i="8"/>
  <c r="H59" i="9"/>
  <c r="F59" i="9"/>
  <c r="L23" i="5"/>
  <c r="G23" i="5"/>
  <c r="P23" i="5"/>
  <c r="I24" i="8"/>
  <c r="N24" i="8"/>
  <c r="P24" i="8"/>
  <c r="K24" i="8"/>
  <c r="P60" i="10"/>
  <c r="M60" i="10"/>
  <c r="F58" i="6"/>
  <c r="M58" i="6"/>
  <c r="M59" i="8"/>
  <c r="N59" i="8"/>
  <c r="Q59" i="8"/>
  <c r="J59" i="8"/>
  <c r="F59" i="8"/>
  <c r="L23" i="11"/>
  <c r="M23" i="11"/>
  <c r="O23" i="11"/>
  <c r="Q23" i="11"/>
  <c r="Q59" i="7"/>
  <c r="N59" i="7"/>
  <c r="I59" i="7"/>
  <c r="G59" i="7"/>
  <c r="O59" i="7"/>
  <c r="M59" i="7"/>
  <c r="L59" i="5"/>
  <c r="K59" i="5"/>
  <c r="P59" i="5"/>
  <c r="O59" i="5"/>
  <c r="N59" i="5"/>
  <c r="I59" i="5"/>
  <c r="M59" i="5"/>
  <c r="Q59" i="5"/>
  <c r="L59" i="4"/>
  <c r="M59" i="4"/>
  <c r="I59" i="4"/>
  <c r="N59" i="4"/>
  <c r="G59" i="4"/>
  <c r="O59" i="4"/>
  <c r="K59" i="4"/>
  <c r="F59" i="4"/>
  <c r="P59" i="4"/>
  <c r="J59" i="4"/>
  <c r="J25" i="10"/>
  <c r="O25" i="10"/>
  <c r="Q25" i="10"/>
  <c r="P25" i="10"/>
  <c r="I25" i="10"/>
  <c r="L25" i="10"/>
  <c r="G25" i="10"/>
  <c r="F25" i="10"/>
  <c r="N59" i="11"/>
  <c r="K59" i="11"/>
  <c r="Q59" i="11"/>
  <c r="M59" i="11"/>
  <c r="I59" i="11"/>
  <c r="F59" i="11"/>
  <c r="O59" i="11"/>
  <c r="P59" i="11"/>
  <c r="L59" i="11"/>
  <c r="I24" i="6"/>
  <c r="N24" i="6"/>
  <c r="P24" i="6"/>
  <c r="M24" i="6"/>
  <c r="L24" i="6"/>
  <c r="Q24" i="6"/>
  <c r="J24" i="6"/>
  <c r="K24" i="6"/>
  <c r="F24" i="6"/>
  <c r="G24" i="6"/>
  <c r="C61" i="11" l="1"/>
  <c r="C25" i="11"/>
  <c r="C27" i="10"/>
  <c r="C62" i="10"/>
  <c r="C61" i="9"/>
  <c r="C61" i="8"/>
  <c r="C26" i="8"/>
  <c r="C24" i="9"/>
  <c r="C26" i="6"/>
  <c r="C61" i="7"/>
  <c r="C60" i="6"/>
  <c r="C24" i="7"/>
  <c r="C61" i="5"/>
  <c r="C25" i="5"/>
  <c r="C61" i="4"/>
  <c r="C24" i="4"/>
  <c r="E23" i="4"/>
  <c r="K23" i="4" s="1"/>
  <c r="E25" i="8"/>
  <c r="H59" i="11"/>
  <c r="L23" i="4"/>
  <c r="H59" i="4"/>
  <c r="H22" i="4"/>
  <c r="P22" i="4"/>
  <c r="N23" i="4"/>
  <c r="H59" i="8"/>
  <c r="H60" i="10"/>
  <c r="H59" i="7"/>
  <c r="J25" i="8"/>
  <c r="E60" i="9"/>
  <c r="E60" i="7"/>
  <c r="Q60" i="9"/>
  <c r="M60" i="7"/>
  <c r="H59" i="5"/>
  <c r="E60" i="5"/>
  <c r="O60" i="9"/>
  <c r="M23" i="4"/>
  <c r="E60" i="4"/>
  <c r="H24" i="8"/>
  <c r="E25" i="6"/>
  <c r="N25" i="6"/>
  <c r="I60" i="5"/>
  <c r="G23" i="4"/>
  <c r="F60" i="4"/>
  <c r="P60" i="4"/>
  <c r="O25" i="8"/>
  <c r="J23" i="4"/>
  <c r="J60" i="5"/>
  <c r="K60" i="7"/>
  <c r="E60" i="11"/>
  <c r="O23" i="4"/>
  <c r="L60" i="7"/>
  <c r="Q60" i="5"/>
  <c r="I60" i="9"/>
  <c r="F60" i="5"/>
  <c r="J60" i="9"/>
  <c r="E23" i="7"/>
  <c r="J60" i="11"/>
  <c r="N60" i="11"/>
  <c r="M60" i="5"/>
  <c r="G60" i="9"/>
  <c r="G22" i="7"/>
  <c r="I60" i="4"/>
  <c r="Q23" i="4"/>
  <c r="P25" i="8"/>
  <c r="O60" i="4"/>
  <c r="L59" i="8"/>
  <c r="G59" i="5"/>
  <c r="G60" i="4"/>
  <c r="G60" i="5"/>
  <c r="H60" i="9"/>
  <c r="I60" i="7"/>
  <c r="E24" i="5"/>
  <c r="M24" i="8"/>
  <c r="F60" i="11"/>
  <c r="H23" i="5"/>
  <c r="H22" i="7"/>
  <c r="M24" i="5"/>
  <c r="L25" i="8"/>
  <c r="P60" i="5"/>
  <c r="P23" i="4"/>
  <c r="F60" i="7"/>
  <c r="K60" i="4"/>
  <c r="E24" i="11"/>
  <c r="H24" i="6"/>
  <c r="E23" i="9"/>
  <c r="Q25" i="8"/>
  <c r="L24" i="11"/>
  <c r="H25" i="10"/>
  <c r="F23" i="4"/>
  <c r="K60" i="11"/>
  <c r="M25" i="6"/>
  <c r="I23" i="4"/>
  <c r="Q60" i="7"/>
  <c r="J24" i="5"/>
  <c r="E61" i="10"/>
  <c r="J23" i="7"/>
  <c r="N60" i="7"/>
  <c r="J59" i="7"/>
  <c r="K23" i="7"/>
  <c r="L25" i="6"/>
  <c r="O60" i="7"/>
  <c r="H58" i="6"/>
  <c r="L60" i="4"/>
  <c r="N23" i="7"/>
  <c r="K25" i="8"/>
  <c r="O25" i="6"/>
  <c r="Q60" i="4"/>
  <c r="P23" i="7"/>
  <c r="Q25" i="6"/>
  <c r="G60" i="7"/>
  <c r="K24" i="5"/>
  <c r="M61" i="10"/>
  <c r="J24" i="11"/>
  <c r="J61" i="10"/>
  <c r="N60" i="5"/>
  <c r="N23" i="9"/>
  <c r="K23" i="9"/>
  <c r="P60" i="9"/>
  <c r="E26" i="10"/>
  <c r="E60" i="8"/>
  <c r="H23" i="11"/>
  <c r="N25" i="10"/>
  <c r="E59" i="6"/>
  <c r="I60" i="11"/>
  <c r="I25" i="8"/>
  <c r="M25" i="8"/>
  <c r="F25" i="8"/>
  <c r="F60" i="9"/>
  <c r="L60" i="9"/>
  <c r="M60" i="9"/>
  <c r="K60" i="9"/>
  <c r="J60" i="7"/>
  <c r="P60" i="7"/>
  <c r="K60" i="5"/>
  <c r="L60" i="5"/>
  <c r="J60" i="4"/>
  <c r="N60" i="4"/>
  <c r="F25" i="6"/>
  <c r="K25" i="6"/>
  <c r="J25" i="6"/>
  <c r="G25" i="6"/>
  <c r="I25" i="6"/>
  <c r="P25" i="6"/>
  <c r="G60" i="11"/>
  <c r="O60" i="11"/>
  <c r="M60" i="11"/>
  <c r="P60" i="11"/>
  <c r="Q60" i="11"/>
  <c r="L60" i="11"/>
  <c r="F23" i="7"/>
  <c r="I23" i="7"/>
  <c r="G23" i="7"/>
  <c r="O23" i="7"/>
  <c r="M23" i="7"/>
  <c r="Q23" i="7"/>
  <c r="L23" i="7"/>
  <c r="G24" i="5"/>
  <c r="I24" i="5"/>
  <c r="L24" i="5"/>
  <c r="N24" i="5"/>
  <c r="F24" i="5"/>
  <c r="Q24" i="5"/>
  <c r="P24" i="5"/>
  <c r="P24" i="11"/>
  <c r="G24" i="11"/>
  <c r="Q24" i="11"/>
  <c r="F24" i="11"/>
  <c r="M24" i="11"/>
  <c r="O24" i="11"/>
  <c r="N24" i="11"/>
  <c r="K24" i="11"/>
  <c r="M23" i="9"/>
  <c r="F23" i="9"/>
  <c r="J23" i="9"/>
  <c r="I23" i="9"/>
  <c r="O23" i="9"/>
  <c r="G23" i="9"/>
  <c r="Q23" i="9"/>
  <c r="H23" i="9"/>
  <c r="F61" i="10"/>
  <c r="G61" i="10"/>
  <c r="L61" i="10"/>
  <c r="I61" i="10"/>
  <c r="K61" i="10"/>
  <c r="O61" i="10"/>
  <c r="P61" i="10"/>
  <c r="Q61" i="10"/>
  <c r="N61" i="10"/>
  <c r="L26" i="10"/>
  <c r="O26" i="10"/>
  <c r="F26" i="10"/>
  <c r="M26" i="10"/>
  <c r="I26" i="10"/>
  <c r="N26" i="10"/>
  <c r="Q26" i="10"/>
  <c r="P26" i="10"/>
  <c r="J26" i="10"/>
  <c r="K26" i="10"/>
  <c r="I60" i="8"/>
  <c r="K60" i="8"/>
  <c r="F60" i="8"/>
  <c r="O60" i="8"/>
  <c r="J60" i="8"/>
  <c r="N60" i="8"/>
  <c r="P60" i="8"/>
  <c r="Q60" i="8"/>
  <c r="G60" i="8"/>
  <c r="M60" i="8"/>
  <c r="F59" i="6"/>
  <c r="P59" i="6"/>
  <c r="M59" i="6"/>
  <c r="J59" i="6"/>
  <c r="L59" i="6"/>
  <c r="N59" i="6"/>
  <c r="Q59" i="6"/>
  <c r="O59" i="6"/>
  <c r="G59" i="6"/>
  <c r="K59" i="6"/>
  <c r="C63" i="10" l="1"/>
  <c r="C28" i="10"/>
  <c r="C26" i="11"/>
  <c r="C62" i="11"/>
  <c r="C62" i="9"/>
  <c r="C25" i="9"/>
  <c r="C27" i="8"/>
  <c r="C62" i="8"/>
  <c r="C27" i="6"/>
  <c r="C25" i="7"/>
  <c r="C62" i="7"/>
  <c r="C61" i="6"/>
  <c r="C26" i="5"/>
  <c r="C62" i="5"/>
  <c r="C62" i="4"/>
  <c r="C25" i="4"/>
  <c r="E61" i="5"/>
  <c r="O24" i="5"/>
  <c r="H61" i="10"/>
  <c r="H59" i="6"/>
  <c r="Q61" i="5"/>
  <c r="E61" i="4"/>
  <c r="P23" i="9"/>
  <c r="H23" i="7"/>
  <c r="E60" i="6"/>
  <c r="L60" i="6" s="1"/>
  <c r="G61" i="5"/>
  <c r="O61" i="5"/>
  <c r="M61" i="4"/>
  <c r="E61" i="11"/>
  <c r="J61" i="11" s="1"/>
  <c r="E24" i="9"/>
  <c r="F24" i="9"/>
  <c r="N61" i="5"/>
  <c r="J61" i="5"/>
  <c r="E25" i="5"/>
  <c r="Q61" i="11"/>
  <c r="N61" i="11"/>
  <c r="I60" i="6"/>
  <c r="L25" i="5"/>
  <c r="G26" i="10"/>
  <c r="H23" i="4"/>
  <c r="K61" i="5"/>
  <c r="K60" i="6"/>
  <c r="N60" i="6"/>
  <c r="P60" i="6"/>
  <c r="O25" i="5"/>
  <c r="P61" i="11"/>
  <c r="E61" i="8"/>
  <c r="O61" i="8"/>
  <c r="H60" i="8"/>
  <c r="G61" i="8"/>
  <c r="J60" i="6"/>
  <c r="I25" i="5"/>
  <c r="E25" i="11"/>
  <c r="K61" i="11"/>
  <c r="N24" i="9"/>
  <c r="M61" i="11"/>
  <c r="Q60" i="6"/>
  <c r="P25" i="5"/>
  <c r="H25" i="6"/>
  <c r="F61" i="11"/>
  <c r="E27" i="10"/>
  <c r="P24" i="9"/>
  <c r="K24" i="9"/>
  <c r="I25" i="11"/>
  <c r="G27" i="10"/>
  <c r="P27" i="10"/>
  <c r="G61" i="11"/>
  <c r="K27" i="10"/>
  <c r="E61" i="7"/>
  <c r="H24" i="11"/>
  <c r="H25" i="8"/>
  <c r="O61" i="11"/>
  <c r="I27" i="10"/>
  <c r="O61" i="7"/>
  <c r="Q24" i="9"/>
  <c r="H24" i="5"/>
  <c r="J24" i="9"/>
  <c r="F27" i="10"/>
  <c r="H60" i="4"/>
  <c r="I24" i="11"/>
  <c r="F25" i="11"/>
  <c r="J25" i="11"/>
  <c r="E62" i="10"/>
  <c r="L61" i="11"/>
  <c r="P61" i="4"/>
  <c r="N25" i="5"/>
  <c r="Q61" i="4"/>
  <c r="H24" i="9"/>
  <c r="E24" i="7"/>
  <c r="I59" i="6"/>
  <c r="L23" i="9"/>
  <c r="O60" i="5"/>
  <c r="M24" i="9"/>
  <c r="N25" i="11"/>
  <c r="M27" i="10"/>
  <c r="M61" i="8"/>
  <c r="I24" i="9"/>
  <c r="O27" i="10"/>
  <c r="F61" i="4"/>
  <c r="N62" i="10"/>
  <c r="G25" i="5"/>
  <c r="L60" i="8"/>
  <c r="F24" i="7"/>
  <c r="N60" i="9"/>
  <c r="N61" i="8"/>
  <c r="Q27" i="10"/>
  <c r="G60" i="6"/>
  <c r="G25" i="11"/>
  <c r="O25" i="11"/>
  <c r="O24" i="9"/>
  <c r="P61" i="5"/>
  <c r="O61" i="4"/>
  <c r="J62" i="10"/>
  <c r="Q25" i="5"/>
  <c r="M60" i="4"/>
  <c r="E24" i="4"/>
  <c r="H60" i="11"/>
  <c r="E26" i="6"/>
  <c r="P61" i="7"/>
  <c r="J61" i="7"/>
  <c r="G24" i="9"/>
  <c r="O60" i="6"/>
  <c r="E26" i="8"/>
  <c r="G26" i="6"/>
  <c r="M61" i="5"/>
  <c r="P62" i="10"/>
  <c r="N25" i="8"/>
  <c r="G25" i="8"/>
  <c r="F60" i="6"/>
  <c r="H26" i="10"/>
  <c r="L26" i="6"/>
  <c r="F61" i="5"/>
  <c r="O62" i="10"/>
  <c r="E61" i="9"/>
  <c r="K61" i="8"/>
  <c r="H60" i="7"/>
  <c r="P61" i="8"/>
  <c r="I61" i="5"/>
  <c r="I26" i="6"/>
  <c r="L61" i="5"/>
  <c r="J25" i="5"/>
  <c r="H60" i="5"/>
  <c r="P26" i="6"/>
  <c r="Q25" i="11"/>
  <c r="Q61" i="7"/>
  <c r="L24" i="9"/>
  <c r="K25" i="5"/>
  <c r="N61" i="4"/>
  <c r="J61" i="4"/>
  <c r="K61" i="4"/>
  <c r="I61" i="4"/>
  <c r="F25" i="5"/>
  <c r="M25" i="5"/>
  <c r="L61" i="8"/>
  <c r="J61" i="8"/>
  <c r="F61" i="8"/>
  <c r="I61" i="8"/>
  <c r="M25" i="11"/>
  <c r="P25" i="11"/>
  <c r="K25" i="11"/>
  <c r="L25" i="11"/>
  <c r="L27" i="10"/>
  <c r="N27" i="10"/>
  <c r="J27" i="10"/>
  <c r="G61" i="7"/>
  <c r="N61" i="7"/>
  <c r="L61" i="7"/>
  <c r="I61" i="7"/>
  <c r="F61" i="7"/>
  <c r="M61" i="7"/>
  <c r="K61" i="7"/>
  <c r="I62" i="10"/>
  <c r="L62" i="10"/>
  <c r="G62" i="10"/>
  <c r="Q62" i="10"/>
  <c r="K62" i="10"/>
  <c r="F62" i="10"/>
  <c r="M24" i="7"/>
  <c r="I24" i="7"/>
  <c r="G24" i="7"/>
  <c r="N24" i="7"/>
  <c r="L24" i="7"/>
  <c r="Q24" i="7"/>
  <c r="K24" i="7"/>
  <c r="O24" i="7"/>
  <c r="P24" i="7"/>
  <c r="F24" i="4"/>
  <c r="Q24" i="4"/>
  <c r="N24" i="4"/>
  <c r="I24" i="4"/>
  <c r="K24" i="4"/>
  <c r="J24" i="4"/>
  <c r="G24" i="4"/>
  <c r="P24" i="4"/>
  <c r="L24" i="4"/>
  <c r="O24" i="4"/>
  <c r="F26" i="6"/>
  <c r="J26" i="6"/>
  <c r="N26" i="6"/>
  <c r="Q26" i="6"/>
  <c r="M26" i="6"/>
  <c r="O26" i="6"/>
  <c r="K26" i="6"/>
  <c r="M26" i="8"/>
  <c r="N26" i="8"/>
  <c r="F26" i="8"/>
  <c r="K26" i="8"/>
  <c r="G26" i="8"/>
  <c r="I26" i="8"/>
  <c r="J26" i="8"/>
  <c r="P26" i="8"/>
  <c r="Q26" i="8"/>
  <c r="L26" i="8"/>
  <c r="H61" i="9"/>
  <c r="P61" i="9"/>
  <c r="N61" i="9"/>
  <c r="J61" i="9"/>
  <c r="G61" i="9"/>
  <c r="M61" i="9"/>
  <c r="L61" i="9"/>
  <c r="O61" i="9"/>
  <c r="F61" i="9"/>
  <c r="Q61" i="9"/>
  <c r="K61" i="9"/>
  <c r="I61" i="9"/>
  <c r="C29" i="10" l="1"/>
  <c r="C64" i="10"/>
  <c r="C63" i="11"/>
  <c r="C27" i="11"/>
  <c r="C63" i="9"/>
  <c r="C26" i="9"/>
  <c r="C63" i="8"/>
  <c r="C28" i="8"/>
  <c r="C26" i="7"/>
  <c r="C28" i="6"/>
  <c r="C62" i="6"/>
  <c r="C63" i="7"/>
  <c r="C63" i="5"/>
  <c r="C27" i="5"/>
  <c r="C63" i="4"/>
  <c r="C26" i="4"/>
  <c r="E25" i="9"/>
  <c r="Q61" i="8"/>
  <c r="G61" i="4"/>
  <c r="N25" i="9"/>
  <c r="E25" i="4"/>
  <c r="H27" i="10"/>
  <c r="J25" i="9"/>
  <c r="E27" i="6"/>
  <c r="I61" i="11"/>
  <c r="F27" i="6"/>
  <c r="I25" i="4"/>
  <c r="L61" i="4"/>
  <c r="O25" i="9"/>
  <c r="E62" i="5"/>
  <c r="G25" i="9"/>
  <c r="O27" i="6"/>
  <c r="F62" i="5"/>
  <c r="Q25" i="4"/>
  <c r="H61" i="4"/>
  <c r="H61" i="7"/>
  <c r="H61" i="5"/>
  <c r="Q25" i="9"/>
  <c r="K27" i="6"/>
  <c r="H61" i="11"/>
  <c r="E26" i="11"/>
  <c r="M62" i="10"/>
  <c r="H61" i="8"/>
  <c r="O26" i="8"/>
  <c r="H25" i="9"/>
  <c r="I27" i="6"/>
  <c r="O26" i="11"/>
  <c r="Q26" i="11"/>
  <c r="H24" i="7"/>
  <c r="P27" i="6"/>
  <c r="E26" i="5"/>
  <c r="G26" i="5"/>
  <c r="N27" i="6"/>
  <c r="Q27" i="6"/>
  <c r="J25" i="4"/>
  <c r="K62" i="5"/>
  <c r="E25" i="7"/>
  <c r="E61" i="6"/>
  <c r="K25" i="9"/>
  <c r="N62" i="5"/>
  <c r="N26" i="11"/>
  <c r="E63" i="10"/>
  <c r="F61" i="6"/>
  <c r="F25" i="9"/>
  <c r="N63" i="10"/>
  <c r="G62" i="5"/>
  <c r="O25" i="4"/>
  <c r="E62" i="7"/>
  <c r="E28" i="10"/>
  <c r="Q62" i="7"/>
  <c r="G26" i="11"/>
  <c r="P25" i="9"/>
  <c r="F63" i="10"/>
  <c r="N61" i="6"/>
  <c r="G25" i="4"/>
  <c r="L25" i="7"/>
  <c r="O26" i="5"/>
  <c r="L26" i="11"/>
  <c r="K28" i="10"/>
  <c r="K25" i="7"/>
  <c r="G63" i="10"/>
  <c r="E62" i="9"/>
  <c r="G27" i="6"/>
  <c r="E62" i="8"/>
  <c r="F26" i="11"/>
  <c r="K63" i="10"/>
  <c r="H27" i="6"/>
  <c r="I61" i="6"/>
  <c r="J62" i="9"/>
  <c r="K25" i="4"/>
  <c r="M24" i="4"/>
  <c r="O25" i="7"/>
  <c r="H62" i="10"/>
  <c r="H26" i="8"/>
  <c r="M25" i="9"/>
  <c r="H25" i="5"/>
  <c r="P26" i="11"/>
  <c r="M27" i="6"/>
  <c r="G61" i="6"/>
  <c r="K62" i="9"/>
  <c r="L25" i="4"/>
  <c r="J24" i="7"/>
  <c r="H24" i="4"/>
  <c r="I25" i="7"/>
  <c r="H26" i="6"/>
  <c r="E62" i="11"/>
  <c r="E62" i="4"/>
  <c r="L25" i="9"/>
  <c r="L62" i="9"/>
  <c r="N28" i="10"/>
  <c r="P63" i="10"/>
  <c r="Q62" i="5"/>
  <c r="G62" i="8"/>
  <c r="P25" i="7"/>
  <c r="H60" i="6"/>
  <c r="P62" i="11"/>
  <c r="G28" i="10"/>
  <c r="J28" i="10"/>
  <c r="J62" i="5"/>
  <c r="I28" i="10"/>
  <c r="Q62" i="4"/>
  <c r="I62" i="5"/>
  <c r="F62" i="8"/>
  <c r="M60" i="6"/>
  <c r="H25" i="11"/>
  <c r="M28" i="10"/>
  <c r="I25" i="9"/>
  <c r="N62" i="7"/>
  <c r="F62" i="4"/>
  <c r="M62" i="5"/>
  <c r="Q62" i="8"/>
  <c r="E27" i="8"/>
  <c r="F62" i="7"/>
  <c r="O62" i="7"/>
  <c r="M62" i="9"/>
  <c r="H62" i="7"/>
  <c r="O62" i="4"/>
  <c r="O61" i="6"/>
  <c r="F25" i="4"/>
  <c r="P25" i="4"/>
  <c r="M25" i="4"/>
  <c r="J27" i="6"/>
  <c r="L27" i="6"/>
  <c r="P62" i="5"/>
  <c r="O62" i="5"/>
  <c r="I26" i="11"/>
  <c r="J26" i="11"/>
  <c r="K26" i="11"/>
  <c r="J26" i="5"/>
  <c r="P26" i="5"/>
  <c r="L26" i="5"/>
  <c r="I26" i="5"/>
  <c r="K26" i="5"/>
  <c r="N26" i="5"/>
  <c r="Q26" i="5"/>
  <c r="Q25" i="7"/>
  <c r="J25" i="7"/>
  <c r="F25" i="7"/>
  <c r="G25" i="7"/>
  <c r="P61" i="6"/>
  <c r="L61" i="6"/>
  <c r="Q61" i="6"/>
  <c r="K61" i="6"/>
  <c r="M61" i="6"/>
  <c r="Q63" i="10"/>
  <c r="M63" i="10"/>
  <c r="I63" i="10"/>
  <c r="L63" i="10"/>
  <c r="J63" i="10"/>
  <c r="O63" i="10"/>
  <c r="M62" i="7"/>
  <c r="I62" i="7"/>
  <c r="G62" i="7"/>
  <c r="L62" i="7"/>
  <c r="P62" i="7"/>
  <c r="K62" i="7"/>
  <c r="J62" i="7"/>
  <c r="O28" i="10"/>
  <c r="P28" i="10"/>
  <c r="L28" i="10"/>
  <c r="F28" i="10"/>
  <c r="Q28" i="10"/>
  <c r="N62" i="9"/>
  <c r="O62" i="9"/>
  <c r="H62" i="9"/>
  <c r="Q62" i="9"/>
  <c r="I62" i="9"/>
  <c r="P62" i="9"/>
  <c r="G62" i="9"/>
  <c r="F62" i="9"/>
  <c r="M62" i="8"/>
  <c r="L62" i="8"/>
  <c r="J62" i="8"/>
  <c r="K62" i="8"/>
  <c r="N62" i="8"/>
  <c r="O62" i="8"/>
  <c r="J62" i="11"/>
  <c r="L62" i="11"/>
  <c r="Q62" i="11"/>
  <c r="K62" i="11"/>
  <c r="G62" i="11"/>
  <c r="M62" i="11"/>
  <c r="I62" i="11"/>
  <c r="N62" i="11"/>
  <c r="F62" i="11"/>
  <c r="G62" i="4"/>
  <c r="J62" i="4"/>
  <c r="N62" i="4"/>
  <c r="I62" i="4"/>
  <c r="M62" i="4"/>
  <c r="P62" i="4"/>
  <c r="L62" i="4"/>
  <c r="K62" i="4"/>
  <c r="I27" i="8"/>
  <c r="Q27" i="8"/>
  <c r="O27" i="8"/>
  <c r="K27" i="8"/>
  <c r="N27" i="8"/>
  <c r="L27" i="8"/>
  <c r="G27" i="8"/>
  <c r="F27" i="8"/>
  <c r="M27" i="8"/>
  <c r="J27" i="8"/>
  <c r="C30" i="10" l="1"/>
  <c r="C65" i="10"/>
  <c r="C28" i="11"/>
  <c r="C64" i="11"/>
  <c r="C27" i="9"/>
  <c r="C64" i="9"/>
  <c r="C29" i="8"/>
  <c r="C64" i="8"/>
  <c r="C29" i="6"/>
  <c r="C27" i="7"/>
  <c r="C64" i="7"/>
  <c r="C63" i="6"/>
  <c r="C28" i="5"/>
  <c r="C64" i="5"/>
  <c r="C64" i="4"/>
  <c r="C27" i="4"/>
  <c r="E29" i="10"/>
  <c r="M29" i="10" s="1"/>
  <c r="E27" i="11"/>
  <c r="M27" i="11"/>
  <c r="G27" i="11"/>
  <c r="H27" i="8"/>
  <c r="H62" i="11"/>
  <c r="E62" i="6"/>
  <c r="I62" i="6" s="1"/>
  <c r="P62" i="8"/>
  <c r="P27" i="11"/>
  <c r="L27" i="11"/>
  <c r="E63" i="11"/>
  <c r="L63" i="11" s="1"/>
  <c r="H26" i="5"/>
  <c r="N29" i="10"/>
  <c r="M62" i="6"/>
  <c r="J27" i="11"/>
  <c r="E63" i="9"/>
  <c r="K27" i="11"/>
  <c r="M63" i="9"/>
  <c r="M26" i="5"/>
  <c r="H25" i="7"/>
  <c r="E64" i="10"/>
  <c r="I27" i="11"/>
  <c r="P29" i="10"/>
  <c r="G62" i="6"/>
  <c r="J63" i="9"/>
  <c r="E63" i="7"/>
  <c r="O62" i="6"/>
  <c r="E28" i="8"/>
  <c r="P28" i="8"/>
  <c r="Q27" i="11"/>
  <c r="K62" i="6"/>
  <c r="J62" i="6"/>
  <c r="F28" i="8"/>
  <c r="I63" i="9"/>
  <c r="P63" i="9"/>
  <c r="N25" i="4"/>
  <c r="F62" i="6"/>
  <c r="H62" i="8"/>
  <c r="E27" i="5"/>
  <c r="K63" i="9"/>
  <c r="G27" i="5"/>
  <c r="P27" i="8"/>
  <c r="F27" i="11"/>
  <c r="O64" i="10"/>
  <c r="E26" i="4"/>
  <c r="P26" i="4"/>
  <c r="E63" i="8"/>
  <c r="M63" i="11"/>
  <c r="Q63" i="7"/>
  <c r="O63" i="11"/>
  <c r="E63" i="5"/>
  <c r="M26" i="4"/>
  <c r="I63" i="8"/>
  <c r="H61" i="6"/>
  <c r="Q63" i="5"/>
  <c r="F29" i="10"/>
  <c r="H26" i="11"/>
  <c r="J26" i="4"/>
  <c r="O27" i="11"/>
  <c r="G29" i="10"/>
  <c r="L62" i="6"/>
  <c r="O63" i="9"/>
  <c r="J27" i="5"/>
  <c r="N63" i="11"/>
  <c r="L62" i="5"/>
  <c r="O29" i="10"/>
  <c r="G63" i="8"/>
  <c r="F64" i="10"/>
  <c r="I62" i="8"/>
  <c r="O63" i="8"/>
  <c r="Q29" i="10"/>
  <c r="J29" i="10"/>
  <c r="E28" i="6"/>
  <c r="Q62" i="6"/>
  <c r="K26" i="4"/>
  <c r="G63" i="7"/>
  <c r="K63" i="7"/>
  <c r="H63" i="10"/>
  <c r="K63" i="8"/>
  <c r="H63" i="9"/>
  <c r="J63" i="11"/>
  <c r="J28" i="8"/>
  <c r="H62" i="5"/>
  <c r="M25" i="7"/>
  <c r="I63" i="11"/>
  <c r="O28" i="8"/>
  <c r="N64" i="10"/>
  <c r="O62" i="11"/>
  <c r="N62" i="6"/>
  <c r="F28" i="6"/>
  <c r="L64" i="10"/>
  <c r="P62" i="6"/>
  <c r="M63" i="7"/>
  <c r="I27" i="5"/>
  <c r="N25" i="7"/>
  <c r="E26" i="7"/>
  <c r="E63" i="4"/>
  <c r="I29" i="10"/>
  <c r="G26" i="4"/>
  <c r="I26" i="4"/>
  <c r="O63" i="5"/>
  <c r="M64" i="10"/>
  <c r="G63" i="9"/>
  <c r="H25" i="4"/>
  <c r="H28" i="10"/>
  <c r="K64" i="10"/>
  <c r="F63" i="9"/>
  <c r="F26" i="5"/>
  <c r="L28" i="8"/>
  <c r="G63" i="4"/>
  <c r="K29" i="10"/>
  <c r="Q63" i="11"/>
  <c r="J61" i="6"/>
  <c r="L26" i="4"/>
  <c r="L63" i="9"/>
  <c r="G63" i="11"/>
  <c r="J28" i="6"/>
  <c r="M26" i="11"/>
  <c r="H62" i="4"/>
  <c r="J63" i="8"/>
  <c r="P63" i="5"/>
  <c r="E26" i="9"/>
  <c r="Q64" i="10"/>
  <c r="I26" i="7"/>
  <c r="K63" i="11"/>
  <c r="N27" i="11"/>
  <c r="M27" i="5"/>
  <c r="P63" i="11"/>
  <c r="F63" i="8"/>
  <c r="M63" i="4"/>
  <c r="Q63" i="9"/>
  <c r="N63" i="9"/>
  <c r="I64" i="10"/>
  <c r="G64" i="10"/>
  <c r="J64" i="10"/>
  <c r="L63" i="7"/>
  <c r="I63" i="7"/>
  <c r="O63" i="7"/>
  <c r="N63" i="7"/>
  <c r="J63" i="7"/>
  <c r="P63" i="7"/>
  <c r="K28" i="8"/>
  <c r="I28" i="8"/>
  <c r="M28" i="8"/>
  <c r="G28" i="8"/>
  <c r="F27" i="5"/>
  <c r="Q27" i="5"/>
  <c r="O27" i="5"/>
  <c r="N27" i="5"/>
  <c r="P27" i="5"/>
  <c r="L27" i="5"/>
  <c r="K27" i="5"/>
  <c r="O26" i="4"/>
  <c r="Q26" i="4"/>
  <c r="F26" i="4"/>
  <c r="N26" i="4"/>
  <c r="Q63" i="8"/>
  <c r="L63" i="8"/>
  <c r="P63" i="8"/>
  <c r="F63" i="5"/>
  <c r="K63" i="5"/>
  <c r="J63" i="5"/>
  <c r="M63" i="5"/>
  <c r="G63" i="5"/>
  <c r="G28" i="6"/>
  <c r="L28" i="6"/>
  <c r="Q28" i="6"/>
  <c r="K28" i="6"/>
  <c r="I28" i="6"/>
  <c r="N28" i="6"/>
  <c r="M28" i="6"/>
  <c r="O28" i="6"/>
  <c r="J26" i="7"/>
  <c r="K26" i="7"/>
  <c r="P26" i="7"/>
  <c r="N26" i="7"/>
  <c r="O26" i="7"/>
  <c r="M26" i="7"/>
  <c r="G26" i="7"/>
  <c r="Q26" i="7"/>
  <c r="F26" i="7"/>
  <c r="N63" i="4"/>
  <c r="L63" i="4"/>
  <c r="J63" i="4"/>
  <c r="I63" i="4"/>
  <c r="F63" i="4"/>
  <c r="K63" i="4"/>
  <c r="O63" i="4"/>
  <c r="Q63" i="4"/>
  <c r="N26" i="9"/>
  <c r="J26" i="9"/>
  <c r="P26" i="9"/>
  <c r="F26" i="9"/>
  <c r="K26" i="9"/>
  <c r="L26" i="9"/>
  <c r="I26" i="9"/>
  <c r="O26" i="9"/>
  <c r="M26" i="9"/>
  <c r="G26" i="9"/>
  <c r="H26" i="9"/>
  <c r="Q26" i="9"/>
  <c r="C31" i="10" l="1"/>
  <c r="C66" i="10"/>
  <c r="C65" i="11"/>
  <c r="C29" i="11"/>
  <c r="C65" i="8"/>
  <c r="C65" i="9"/>
  <c r="C28" i="9"/>
  <c r="C30" i="8"/>
  <c r="C30" i="6"/>
  <c r="C64" i="6"/>
  <c r="C28" i="7"/>
  <c r="C65" i="7"/>
  <c r="C65" i="5"/>
  <c r="C29" i="5"/>
  <c r="C65" i="4"/>
  <c r="C28" i="4"/>
  <c r="M63" i="8"/>
  <c r="E27" i="9"/>
  <c r="H29" i="10"/>
  <c r="H63" i="7"/>
  <c r="H27" i="9"/>
  <c r="Q28" i="8"/>
  <c r="H63" i="8"/>
  <c r="H26" i="7"/>
  <c r="Q27" i="9"/>
  <c r="E28" i="5"/>
  <c r="H26" i="4"/>
  <c r="O27" i="9"/>
  <c r="L26" i="7"/>
  <c r="P64" i="10"/>
  <c r="P28" i="5"/>
  <c r="I63" i="5"/>
  <c r="K28" i="5"/>
  <c r="J27" i="9"/>
  <c r="H63" i="11"/>
  <c r="E64" i="9"/>
  <c r="H64" i="10"/>
  <c r="K27" i="9"/>
  <c r="E27" i="4"/>
  <c r="M64" i="9"/>
  <c r="E30" i="10"/>
  <c r="I27" i="9"/>
  <c r="E64" i="7"/>
  <c r="G27" i="9"/>
  <c r="J27" i="4"/>
  <c r="G64" i="9"/>
  <c r="L28" i="5"/>
  <c r="L30" i="10"/>
  <c r="L29" i="10"/>
  <c r="N64" i="9"/>
  <c r="M30" i="10"/>
  <c r="N63" i="5"/>
  <c r="H27" i="11"/>
  <c r="Q64" i="9"/>
  <c r="H63" i="4"/>
  <c r="Q28" i="5"/>
  <c r="Q30" i="10"/>
  <c r="K27" i="4"/>
  <c r="F63" i="11"/>
  <c r="P63" i="4"/>
  <c r="F27" i="4"/>
  <c r="E64" i="5"/>
  <c r="I64" i="7"/>
  <c r="F30" i="10"/>
  <c r="E64" i="8"/>
  <c r="E29" i="8"/>
  <c r="I28" i="5"/>
  <c r="E29" i="6"/>
  <c r="G29" i="8"/>
  <c r="K29" i="6"/>
  <c r="E64" i="11"/>
  <c r="L27" i="9"/>
  <c r="O29" i="6"/>
  <c r="N64" i="8"/>
  <c r="F28" i="5"/>
  <c r="P27" i="9"/>
  <c r="Q27" i="4"/>
  <c r="P28" i="6"/>
  <c r="H63" i="5"/>
  <c r="H27" i="5"/>
  <c r="G64" i="7"/>
  <c r="E63" i="6"/>
  <c r="O64" i="7"/>
  <c r="K64" i="5"/>
  <c r="J30" i="10"/>
  <c r="Q63" i="6"/>
  <c r="F63" i="7"/>
  <c r="E28" i="11"/>
  <c r="K64" i="7"/>
  <c r="M27" i="9"/>
  <c r="M64" i="8"/>
  <c r="L63" i="5"/>
  <c r="H28" i="6"/>
  <c r="E27" i="7"/>
  <c r="O64" i="9"/>
  <c r="K30" i="10"/>
  <c r="Q64" i="5"/>
  <c r="H64" i="9"/>
  <c r="E64" i="4"/>
  <c r="G64" i="4"/>
  <c r="P27" i="7"/>
  <c r="P64" i="8"/>
  <c r="N63" i="8"/>
  <c r="O29" i="8"/>
  <c r="E65" i="10"/>
  <c r="I64" i="8"/>
  <c r="Q64" i="7"/>
  <c r="G63" i="6"/>
  <c r="M65" i="10"/>
  <c r="H62" i="6"/>
  <c r="M64" i="5"/>
  <c r="I29" i="6"/>
  <c r="K63" i="6"/>
  <c r="M64" i="11"/>
  <c r="N28" i="11"/>
  <c r="N28" i="8"/>
  <c r="H28" i="8"/>
  <c r="I64" i="11"/>
  <c r="N27" i="9"/>
  <c r="F27" i="9"/>
  <c r="M28" i="5"/>
  <c r="O28" i="5"/>
  <c r="N28" i="5"/>
  <c r="G28" i="5"/>
  <c r="J28" i="5"/>
  <c r="P64" i="9"/>
  <c r="J64" i="9"/>
  <c r="F64" i="9"/>
  <c r="I64" i="9"/>
  <c r="K64" i="9"/>
  <c r="G27" i="4"/>
  <c r="I27" i="4"/>
  <c r="O27" i="4"/>
  <c r="N27" i="4"/>
  <c r="M27" i="4"/>
  <c r="L27" i="4"/>
  <c r="I30" i="10"/>
  <c r="O30" i="10"/>
  <c r="P30" i="10"/>
  <c r="G30" i="10"/>
  <c r="N64" i="7"/>
  <c r="L64" i="7"/>
  <c r="M64" i="7"/>
  <c r="P64" i="7"/>
  <c r="F64" i="7"/>
  <c r="N64" i="5"/>
  <c r="G64" i="5"/>
  <c r="L64" i="5"/>
  <c r="F64" i="5"/>
  <c r="P64" i="5"/>
  <c r="J64" i="5"/>
  <c r="I64" i="5"/>
  <c r="Q64" i="8"/>
  <c r="G64" i="8"/>
  <c r="J64" i="8"/>
  <c r="L64" i="8"/>
  <c r="O64" i="8"/>
  <c r="F64" i="8"/>
  <c r="K64" i="8"/>
  <c r="M29" i="8"/>
  <c r="Q29" i="8"/>
  <c r="I29" i="8"/>
  <c r="N29" i="8"/>
  <c r="P29" i="8"/>
  <c r="K29" i="8"/>
  <c r="L29" i="8"/>
  <c r="J29" i="8"/>
  <c r="G29" i="6"/>
  <c r="L29" i="6"/>
  <c r="Q29" i="6"/>
  <c r="J29" i="6"/>
  <c r="P29" i="6"/>
  <c r="N29" i="6"/>
  <c r="M29" i="6"/>
  <c r="F29" i="6"/>
  <c r="Q64" i="11"/>
  <c r="O64" i="11"/>
  <c r="F64" i="11"/>
  <c r="K64" i="11"/>
  <c r="J64" i="11"/>
  <c r="G64" i="11"/>
  <c r="P64" i="11"/>
  <c r="L64" i="11"/>
  <c r="N64" i="11"/>
  <c r="I63" i="6"/>
  <c r="N63" i="6"/>
  <c r="L63" i="6"/>
  <c r="P63" i="6"/>
  <c r="O63" i="6"/>
  <c r="J63" i="6"/>
  <c r="F63" i="6"/>
  <c r="M63" i="6"/>
  <c r="I28" i="11"/>
  <c r="L28" i="11"/>
  <c r="G28" i="11"/>
  <c r="F28" i="11"/>
  <c r="K28" i="11"/>
  <c r="P28" i="11"/>
  <c r="M28" i="11"/>
  <c r="J28" i="11"/>
  <c r="O28" i="11"/>
  <c r="Q27" i="7"/>
  <c r="J27" i="7"/>
  <c r="F27" i="7"/>
  <c r="L27" i="7"/>
  <c r="K27" i="7"/>
  <c r="N27" i="7"/>
  <c r="M27" i="7"/>
  <c r="G27" i="7"/>
  <c r="I27" i="7"/>
  <c r="L64" i="4"/>
  <c r="P64" i="4"/>
  <c r="N64" i="4"/>
  <c r="K64" i="4"/>
  <c r="Q64" i="4"/>
  <c r="J64" i="4"/>
  <c r="I64" i="4"/>
  <c r="F64" i="4"/>
  <c r="O64" i="4"/>
  <c r="G65" i="10"/>
  <c r="N65" i="10"/>
  <c r="P65" i="10"/>
  <c r="K65" i="10"/>
  <c r="J65" i="10"/>
  <c r="Q65" i="10"/>
  <c r="L65" i="10"/>
  <c r="F65" i="10"/>
  <c r="C32" i="10" l="1"/>
  <c r="C67" i="10"/>
  <c r="C30" i="11"/>
  <c r="C66" i="11"/>
  <c r="C31" i="8"/>
  <c r="C29" i="9"/>
  <c r="C66" i="9"/>
  <c r="C66" i="8"/>
  <c r="C65" i="6"/>
  <c r="C31" i="6"/>
  <c r="C66" i="7"/>
  <c r="C29" i="7"/>
  <c r="C30" i="5"/>
  <c r="C66" i="5"/>
  <c r="C29" i="4"/>
  <c r="C66" i="4"/>
  <c r="P27" i="4"/>
  <c r="H29" i="6"/>
  <c r="E64" i="6"/>
  <c r="H64" i="11"/>
  <c r="H64" i="4"/>
  <c r="E28" i="4"/>
  <c r="P28" i="4" s="1"/>
  <c r="E65" i="8"/>
  <c r="P65" i="8" s="1"/>
  <c r="F64" i="6"/>
  <c r="E31" i="10"/>
  <c r="J65" i="8"/>
  <c r="M65" i="8"/>
  <c r="E28" i="9"/>
  <c r="J28" i="9" s="1"/>
  <c r="P64" i="6"/>
  <c r="H65" i="10"/>
  <c r="E65" i="7"/>
  <c r="M28" i="9"/>
  <c r="P28" i="9"/>
  <c r="E65" i="4"/>
  <c r="K31" i="10"/>
  <c r="G31" i="10"/>
  <c r="Q28" i="9"/>
  <c r="M64" i="4"/>
  <c r="O27" i="7"/>
  <c r="O65" i="8"/>
  <c r="K65" i="8"/>
  <c r="H63" i="6"/>
  <c r="F31" i="10"/>
  <c r="L64" i="9"/>
  <c r="H30" i="10"/>
  <c r="O31" i="10"/>
  <c r="Q64" i="6"/>
  <c r="H28" i="9"/>
  <c r="N28" i="4"/>
  <c r="G65" i="7"/>
  <c r="J65" i="7"/>
  <c r="E65" i="5"/>
  <c r="F65" i="7"/>
  <c r="E29" i="5"/>
  <c r="M29" i="5" s="1"/>
  <c r="I29" i="5"/>
  <c r="N29" i="5"/>
  <c r="E65" i="11"/>
  <c r="J31" i="10"/>
  <c r="N28" i="9"/>
  <c r="M65" i="4"/>
  <c r="M28" i="4"/>
  <c r="I65" i="7"/>
  <c r="H28" i="11"/>
  <c r="L29" i="5"/>
  <c r="K65" i="4"/>
  <c r="O64" i="6"/>
  <c r="O64" i="5"/>
  <c r="E30" i="6"/>
  <c r="K28" i="4"/>
  <c r="Q28" i="11"/>
  <c r="J29" i="5"/>
  <c r="G28" i="4"/>
  <c r="M30" i="6"/>
  <c r="P65" i="7"/>
  <c r="J64" i="6"/>
  <c r="L65" i="5"/>
  <c r="H64" i="7"/>
  <c r="P65" i="4"/>
  <c r="H29" i="8"/>
  <c r="H64" i="5"/>
  <c r="J64" i="7"/>
  <c r="I65" i="10"/>
  <c r="I28" i="4"/>
  <c r="I65" i="4"/>
  <c r="H64" i="6"/>
  <c r="O28" i="4"/>
  <c r="F28" i="9"/>
  <c r="L30" i="6"/>
  <c r="K65" i="7"/>
  <c r="N65" i="8"/>
  <c r="F28" i="4"/>
  <c r="J30" i="6"/>
  <c r="Q29" i="5"/>
  <c r="O65" i="10"/>
  <c r="N31" i="10"/>
  <c r="N30" i="6"/>
  <c r="G65" i="4"/>
  <c r="O65" i="11"/>
  <c r="E65" i="9"/>
  <c r="H64" i="8"/>
  <c r="G65" i="8"/>
  <c r="P30" i="6"/>
  <c r="E28" i="7"/>
  <c r="O28" i="7"/>
  <c r="H27" i="7"/>
  <c r="E66" i="10"/>
  <c r="L65" i="8"/>
  <c r="P28" i="7"/>
  <c r="E30" i="8"/>
  <c r="L64" i="6"/>
  <c r="F65" i="4"/>
  <c r="H28" i="5"/>
  <c r="N30" i="8"/>
  <c r="M64" i="6"/>
  <c r="Q28" i="4"/>
  <c r="I28" i="9"/>
  <c r="O30" i="6"/>
  <c r="J65" i="9"/>
  <c r="Q65" i="7"/>
  <c r="F29" i="8"/>
  <c r="N30" i="10"/>
  <c r="E29" i="11"/>
  <c r="N65" i="4"/>
  <c r="H27" i="4"/>
  <c r="K29" i="5"/>
  <c r="I64" i="6"/>
  <c r="G65" i="11"/>
  <c r="K28" i="9"/>
  <c r="L65" i="7"/>
  <c r="O29" i="5"/>
  <c r="M65" i="5"/>
  <c r="J65" i="5"/>
  <c r="Q31" i="10"/>
  <c r="J28" i="4"/>
  <c r="L65" i="9"/>
  <c r="G29" i="5"/>
  <c r="F29" i="5"/>
  <c r="O28" i="9"/>
  <c r="L28" i="9"/>
  <c r="P65" i="5"/>
  <c r="L31" i="10"/>
  <c r="G28" i="9"/>
  <c r="F29" i="11"/>
  <c r="P29" i="5"/>
  <c r="F65" i="9"/>
  <c r="G64" i="6"/>
  <c r="K64" i="6"/>
  <c r="P31" i="10"/>
  <c r="M31" i="10"/>
  <c r="M65" i="7"/>
  <c r="N65" i="7"/>
  <c r="Q65" i="4"/>
  <c r="L65" i="4"/>
  <c r="O65" i="4"/>
  <c r="I65" i="5"/>
  <c r="K65" i="5"/>
  <c r="Q65" i="5"/>
  <c r="F65" i="5"/>
  <c r="O65" i="5"/>
  <c r="N65" i="5"/>
  <c r="Q65" i="11"/>
  <c r="F65" i="11"/>
  <c r="K65" i="11"/>
  <c r="P65" i="11"/>
  <c r="L65" i="11"/>
  <c r="M65" i="11"/>
  <c r="N65" i="11"/>
  <c r="Q30" i="6"/>
  <c r="I30" i="6"/>
  <c r="K30" i="6"/>
  <c r="G30" i="6"/>
  <c r="F30" i="6"/>
  <c r="G65" i="9"/>
  <c r="H65" i="9"/>
  <c r="Q65" i="9"/>
  <c r="P65" i="9"/>
  <c r="O65" i="9"/>
  <c r="I65" i="9"/>
  <c r="N65" i="9"/>
  <c r="M65" i="9"/>
  <c r="L28" i="7"/>
  <c r="J28" i="7"/>
  <c r="I28" i="7"/>
  <c r="F28" i="7"/>
  <c r="N28" i="7"/>
  <c r="K28" i="7"/>
  <c r="G28" i="7"/>
  <c r="Q66" i="10"/>
  <c r="K66" i="10"/>
  <c r="G66" i="10"/>
  <c r="P66" i="10"/>
  <c r="M66" i="10"/>
  <c r="O66" i="10"/>
  <c r="F66" i="10"/>
  <c r="J66" i="10"/>
  <c r="I66" i="10"/>
  <c r="N66" i="10"/>
  <c r="L66" i="10"/>
  <c r="L30" i="8"/>
  <c r="G30" i="8"/>
  <c r="F30" i="8"/>
  <c r="Q30" i="8"/>
  <c r="M30" i="8"/>
  <c r="K30" i="8"/>
  <c r="J30" i="8"/>
  <c r="I30" i="8"/>
  <c r="P30" i="8"/>
  <c r="P29" i="11"/>
  <c r="Q29" i="11"/>
  <c r="N29" i="11"/>
  <c r="L29" i="11"/>
  <c r="I29" i="11"/>
  <c r="M29" i="11"/>
  <c r="G29" i="11"/>
  <c r="J29" i="11"/>
  <c r="K29" i="11"/>
  <c r="O29" i="11"/>
  <c r="C33" i="10" l="1"/>
  <c r="C68" i="10"/>
  <c r="C67" i="11"/>
  <c r="C31" i="11"/>
  <c r="C32" i="8"/>
  <c r="C67" i="8"/>
  <c r="C67" i="9"/>
  <c r="C30" i="9"/>
  <c r="C67" i="7"/>
  <c r="C32" i="6"/>
  <c r="C30" i="7"/>
  <c r="C66" i="6"/>
  <c r="C67" i="5"/>
  <c r="C31" i="5"/>
  <c r="C67" i="4"/>
  <c r="C30" i="4"/>
  <c r="Q28" i="7"/>
  <c r="I65" i="8"/>
  <c r="E66" i="4"/>
  <c r="E30" i="5"/>
  <c r="I66" i="4"/>
  <c r="G66" i="4"/>
  <c r="E31" i="8"/>
  <c r="P66" i="4"/>
  <c r="K30" i="5"/>
  <c r="G30" i="5"/>
  <c r="I65" i="11"/>
  <c r="K66" i="4"/>
  <c r="Q65" i="8"/>
  <c r="H31" i="8"/>
  <c r="E30" i="11"/>
  <c r="K65" i="9"/>
  <c r="E66" i="7"/>
  <c r="H28" i="4"/>
  <c r="E67" i="10"/>
  <c r="N67" i="10" s="1"/>
  <c r="H65" i="11"/>
  <c r="J31" i="8"/>
  <c r="Q31" i="8"/>
  <c r="Q30" i="5"/>
  <c r="G67" i="10"/>
  <c r="F30" i="5"/>
  <c r="G66" i="7"/>
  <c r="Q67" i="10"/>
  <c r="E32" i="10"/>
  <c r="H65" i="8"/>
  <c r="H65" i="5"/>
  <c r="H29" i="11"/>
  <c r="H29" i="5"/>
  <c r="M30" i="5"/>
  <c r="I31" i="10"/>
  <c r="E29" i="4"/>
  <c r="G31" i="8"/>
  <c r="L30" i="5"/>
  <c r="G29" i="4"/>
  <c r="I67" i="10"/>
  <c r="H66" i="10"/>
  <c r="H65" i="4"/>
  <c r="F32" i="10"/>
  <c r="H30" i="6"/>
  <c r="P32" i="10"/>
  <c r="G65" i="5"/>
  <c r="E65" i="6"/>
  <c r="Q32" i="10"/>
  <c r="P31" i="8"/>
  <c r="J30" i="5"/>
  <c r="L65" i="6"/>
  <c r="O29" i="4"/>
  <c r="J67" i="10"/>
  <c r="F65" i="8"/>
  <c r="L28" i="4"/>
  <c r="F31" i="8"/>
  <c r="E31" i="6"/>
  <c r="P66" i="7"/>
  <c r="H65" i="7"/>
  <c r="O30" i="8"/>
  <c r="K31" i="8"/>
  <c r="P30" i="5"/>
  <c r="F29" i="4"/>
  <c r="F67" i="10"/>
  <c r="H28" i="7"/>
  <c r="E66" i="5"/>
  <c r="L66" i="5" s="1"/>
  <c r="L31" i="8"/>
  <c r="E66" i="8"/>
  <c r="G32" i="10"/>
  <c r="E66" i="9"/>
  <c r="F31" i="6"/>
  <c r="J66" i="9"/>
  <c r="H30" i="8"/>
  <c r="G66" i="5"/>
  <c r="I66" i="9"/>
  <c r="J65" i="11"/>
  <c r="N66" i="5"/>
  <c r="O30" i="5"/>
  <c r="O65" i="7"/>
  <c r="N30" i="5"/>
  <c r="H31" i="10"/>
  <c r="N66" i="7"/>
  <c r="Q66" i="4"/>
  <c r="P31" i="6"/>
  <c r="K30" i="11"/>
  <c r="J66" i="8"/>
  <c r="L29" i="4"/>
  <c r="P67" i="10"/>
  <c r="O32" i="10"/>
  <c r="Q66" i="7"/>
  <c r="O30" i="11"/>
  <c r="E29" i="7"/>
  <c r="F66" i="5"/>
  <c r="K66" i="7"/>
  <c r="G30" i="11"/>
  <c r="M67" i="10"/>
  <c r="J66" i="4"/>
  <c r="P29" i="7"/>
  <c r="M66" i="4"/>
  <c r="M66" i="7"/>
  <c r="P30" i="11"/>
  <c r="O29" i="7"/>
  <c r="K65" i="6"/>
  <c r="Q66" i="9"/>
  <c r="F66" i="8"/>
  <c r="I66" i="7"/>
  <c r="E66" i="11"/>
  <c r="J65" i="4"/>
  <c r="I31" i="8"/>
  <c r="M66" i="5"/>
  <c r="M32" i="10"/>
  <c r="O66" i="5"/>
  <c r="L66" i="4"/>
  <c r="L66" i="8"/>
  <c r="O66" i="4"/>
  <c r="N31" i="8"/>
  <c r="J32" i="10"/>
  <c r="F66" i="7"/>
  <c r="F66" i="4"/>
  <c r="G31" i="6"/>
  <c r="M30" i="11"/>
  <c r="N65" i="6"/>
  <c r="N29" i="4"/>
  <c r="K67" i="10"/>
  <c r="Q66" i="5"/>
  <c r="E68" i="10"/>
  <c r="J66" i="7"/>
  <c r="J30" i="11"/>
  <c r="M29" i="4"/>
  <c r="N64" i="6"/>
  <c r="E29" i="9"/>
  <c r="M28" i="7"/>
  <c r="J66" i="5"/>
  <c r="K31" i="6"/>
  <c r="Q68" i="10"/>
  <c r="J66" i="11"/>
  <c r="L29" i="9"/>
  <c r="K66" i="5"/>
  <c r="O31" i="8"/>
  <c r="M31" i="6"/>
  <c r="O67" i="10"/>
  <c r="I30" i="5"/>
  <c r="M66" i="11"/>
  <c r="N29" i="9"/>
  <c r="P65" i="6"/>
  <c r="P66" i="11"/>
  <c r="I30" i="11"/>
  <c r="L30" i="11"/>
  <c r="N30" i="11"/>
  <c r="L66" i="7"/>
  <c r="O66" i="7"/>
  <c r="N32" i="10"/>
  <c r="I32" i="10"/>
  <c r="K32" i="10"/>
  <c r="Q29" i="4"/>
  <c r="P29" i="4"/>
  <c r="K29" i="4"/>
  <c r="I29" i="4"/>
  <c r="J29" i="4"/>
  <c r="F65" i="6"/>
  <c r="O65" i="6"/>
  <c r="G65" i="6"/>
  <c r="Q65" i="6"/>
  <c r="J65" i="6"/>
  <c r="I65" i="6"/>
  <c r="M65" i="6"/>
  <c r="J31" i="6"/>
  <c r="L31" i="6"/>
  <c r="O31" i="6"/>
  <c r="N31" i="6"/>
  <c r="Q31" i="6"/>
  <c r="I31" i="6"/>
  <c r="I66" i="8"/>
  <c r="G66" i="8"/>
  <c r="Q66" i="8"/>
  <c r="P66" i="8"/>
  <c r="K66" i="8"/>
  <c r="M66" i="8"/>
  <c r="N66" i="8"/>
  <c r="O66" i="8"/>
  <c r="K66" i="9"/>
  <c r="M66" i="9"/>
  <c r="P66" i="9"/>
  <c r="H66" i="9"/>
  <c r="O66" i="9"/>
  <c r="L66" i="9"/>
  <c r="G66" i="9"/>
  <c r="F66" i="9"/>
  <c r="N66" i="9"/>
  <c r="L29" i="7"/>
  <c r="J29" i="7"/>
  <c r="M29" i="7"/>
  <c r="I29" i="7"/>
  <c r="K29" i="7"/>
  <c r="N29" i="7"/>
  <c r="Q29" i="7"/>
  <c r="F29" i="7"/>
  <c r="Q66" i="11"/>
  <c r="G66" i="11"/>
  <c r="K66" i="11"/>
  <c r="O66" i="11"/>
  <c r="F66" i="11"/>
  <c r="N66" i="11"/>
  <c r="I66" i="11"/>
  <c r="F68" i="10"/>
  <c r="N68" i="10"/>
  <c r="I68" i="10"/>
  <c r="M68" i="10"/>
  <c r="O68" i="10"/>
  <c r="L68" i="10"/>
  <c r="J68" i="10"/>
  <c r="G68" i="10"/>
  <c r="P68" i="10"/>
  <c r="P29" i="9"/>
  <c r="O29" i="9"/>
  <c r="Q29" i="9"/>
  <c r="J29" i="9"/>
  <c r="H29" i="9"/>
  <c r="K29" i="9"/>
  <c r="I29" i="9"/>
  <c r="G29" i="9"/>
  <c r="M29" i="9"/>
  <c r="F29" i="9"/>
  <c r="C34" i="10" l="1"/>
  <c r="C32" i="11"/>
  <c r="C68" i="11"/>
  <c r="C31" i="9"/>
  <c r="C68" i="8"/>
  <c r="C33" i="8"/>
  <c r="C68" i="9"/>
  <c r="C67" i="6"/>
  <c r="C31" i="7"/>
  <c r="C68" i="7"/>
  <c r="C33" i="6"/>
  <c r="C32" i="5"/>
  <c r="C68" i="5"/>
  <c r="C68" i="4"/>
  <c r="C31" i="4"/>
  <c r="E30" i="4"/>
  <c r="Q30" i="4"/>
  <c r="E67" i="11"/>
  <c r="E68" i="5"/>
  <c r="L68" i="5" s="1"/>
  <c r="E68" i="7"/>
  <c r="K68" i="7"/>
  <c r="G68" i="5"/>
  <c r="L30" i="4"/>
  <c r="I30" i="4"/>
  <c r="E68" i="8"/>
  <c r="E66" i="6"/>
  <c r="K66" i="6" s="1"/>
  <c r="F68" i="5"/>
  <c r="N67" i="11"/>
  <c r="H67" i="10"/>
  <c r="K68" i="8"/>
  <c r="E68" i="4"/>
  <c r="H66" i="5"/>
  <c r="E30" i="9"/>
  <c r="P30" i="9" s="1"/>
  <c r="Q30" i="11"/>
  <c r="K67" i="11"/>
  <c r="I68" i="4"/>
  <c r="H32" i="10"/>
  <c r="K68" i="5"/>
  <c r="M68" i="5"/>
  <c r="J30" i="4"/>
  <c r="N66" i="6"/>
  <c r="Q30" i="9"/>
  <c r="E32" i="8"/>
  <c r="H66" i="8"/>
  <c r="I66" i="5"/>
  <c r="H65" i="6"/>
  <c r="H66" i="7"/>
  <c r="Q68" i="5"/>
  <c r="N30" i="4"/>
  <c r="N30" i="9"/>
  <c r="H30" i="5"/>
  <c r="K68" i="10"/>
  <c r="M68" i="4"/>
  <c r="F30" i="9"/>
  <c r="O68" i="5"/>
  <c r="P30" i="4"/>
  <c r="L66" i="11"/>
  <c r="E67" i="5"/>
  <c r="E67" i="7"/>
  <c r="K30" i="4"/>
  <c r="F68" i="4"/>
  <c r="G32" i="8"/>
  <c r="E33" i="10"/>
  <c r="L33" i="10"/>
  <c r="E68" i="9"/>
  <c r="N66" i="4"/>
  <c r="G67" i="11"/>
  <c r="K68" i="4"/>
  <c r="N67" i="5"/>
  <c r="J66" i="6"/>
  <c r="F30" i="11"/>
  <c r="Q33" i="10"/>
  <c r="N68" i="9"/>
  <c r="H66" i="11"/>
  <c r="M31" i="8"/>
  <c r="G68" i="9"/>
  <c r="I66" i="6"/>
  <c r="O30" i="9"/>
  <c r="Q32" i="8"/>
  <c r="Q68" i="4"/>
  <c r="G67" i="5"/>
  <c r="J67" i="11"/>
  <c r="I68" i="5"/>
  <c r="G30" i="4"/>
  <c r="M66" i="6"/>
  <c r="K30" i="9"/>
  <c r="P32" i="8"/>
  <c r="E32" i="6"/>
  <c r="H29" i="4"/>
  <c r="L67" i="7"/>
  <c r="P66" i="6"/>
  <c r="N68" i="7"/>
  <c r="Q67" i="7"/>
  <c r="O68" i="8"/>
  <c r="J30" i="9"/>
  <c r="J33" i="10"/>
  <c r="N68" i="5"/>
  <c r="I67" i="5"/>
  <c r="G67" i="7"/>
  <c r="L30" i="9"/>
  <c r="M30" i="9"/>
  <c r="Q68" i="7"/>
  <c r="I68" i="8"/>
  <c r="L66" i="6"/>
  <c r="F68" i="9"/>
  <c r="O68" i="7"/>
  <c r="F67" i="11"/>
  <c r="L68" i="7"/>
  <c r="I67" i="7"/>
  <c r="Q68" i="8"/>
  <c r="H30" i="11"/>
  <c r="F33" i="10"/>
  <c r="H29" i="7"/>
  <c r="O66" i="6"/>
  <c r="M68" i="9"/>
  <c r="I68" i="9"/>
  <c r="H68" i="10"/>
  <c r="J32" i="8"/>
  <c r="L67" i="10"/>
  <c r="P66" i="5"/>
  <c r="I67" i="11"/>
  <c r="N68" i="4"/>
  <c r="M30" i="4"/>
  <c r="H31" i="6"/>
  <c r="M32" i="8"/>
  <c r="O67" i="5"/>
  <c r="J68" i="7"/>
  <c r="M67" i="7"/>
  <c r="O68" i="9"/>
  <c r="N68" i="8"/>
  <c r="G30" i="9"/>
  <c r="G29" i="7"/>
  <c r="L32" i="10"/>
  <c r="O67" i="11"/>
  <c r="H66" i="4"/>
  <c r="Q32" i="6"/>
  <c r="E67" i="9"/>
  <c r="L68" i="4"/>
  <c r="H68" i="9"/>
  <c r="F66" i="6"/>
  <c r="P67" i="5"/>
  <c r="I68" i="7"/>
  <c r="P67" i="9"/>
  <c r="J67" i="7"/>
  <c r="P68" i="9"/>
  <c r="G68" i="8"/>
  <c r="E30" i="7"/>
  <c r="E31" i="5"/>
  <c r="Q67" i="11"/>
  <c r="E68" i="11"/>
  <c r="E67" i="4"/>
  <c r="N32" i="8"/>
  <c r="J67" i="5"/>
  <c r="F68" i="7"/>
  <c r="K67" i="7"/>
  <c r="L68" i="11"/>
  <c r="F68" i="8"/>
  <c r="I30" i="9"/>
  <c r="F30" i="7"/>
  <c r="L32" i="8"/>
  <c r="O31" i="5"/>
  <c r="E31" i="11"/>
  <c r="J31" i="11"/>
  <c r="L67" i="11"/>
  <c r="J68" i="5"/>
  <c r="Q67" i="9"/>
  <c r="L31" i="11"/>
  <c r="G66" i="6"/>
  <c r="O68" i="4"/>
  <c r="K67" i="5"/>
  <c r="Q31" i="11"/>
  <c r="E67" i="8"/>
  <c r="G68" i="7"/>
  <c r="N67" i="7"/>
  <c r="Q66" i="6"/>
  <c r="M67" i="11"/>
  <c r="F30" i="4"/>
  <c r="P68" i="5"/>
  <c r="P68" i="7"/>
  <c r="M68" i="7"/>
  <c r="P68" i="8"/>
  <c r="L68" i="8"/>
  <c r="J68" i="4"/>
  <c r="G68" i="4"/>
  <c r="P68" i="4"/>
  <c r="I32" i="8"/>
  <c r="O32" i="8"/>
  <c r="F32" i="8"/>
  <c r="Q67" i="5"/>
  <c r="L67" i="5"/>
  <c r="F67" i="5"/>
  <c r="M67" i="5"/>
  <c r="P67" i="7"/>
  <c r="F67" i="7"/>
  <c r="O67" i="7"/>
  <c r="I33" i="10"/>
  <c r="G33" i="10"/>
  <c r="P33" i="10"/>
  <c r="M33" i="10"/>
  <c r="K33" i="10"/>
  <c r="L68" i="9"/>
  <c r="J68" i="9"/>
  <c r="Q68" i="9"/>
  <c r="K68" i="9"/>
  <c r="P32" i="6"/>
  <c r="M32" i="6"/>
  <c r="N32" i="6"/>
  <c r="G32" i="6"/>
  <c r="L32" i="6"/>
  <c r="K32" i="6"/>
  <c r="I32" i="6"/>
  <c r="J32" i="6"/>
  <c r="F32" i="6"/>
  <c r="O32" i="6"/>
  <c r="J67" i="9"/>
  <c r="H67" i="9"/>
  <c r="L67" i="9"/>
  <c r="M67" i="9"/>
  <c r="F67" i="9"/>
  <c r="N67" i="9"/>
  <c r="O67" i="9"/>
  <c r="I67" i="9"/>
  <c r="K67" i="9"/>
  <c r="I30" i="7"/>
  <c r="N30" i="7"/>
  <c r="O30" i="7"/>
  <c r="G30" i="7"/>
  <c r="K30" i="7"/>
  <c r="Q30" i="7"/>
  <c r="M30" i="7"/>
  <c r="P30" i="7"/>
  <c r="P31" i="5"/>
  <c r="Q31" i="5"/>
  <c r="G31" i="5"/>
  <c r="K31" i="5"/>
  <c r="J31" i="5"/>
  <c r="F31" i="5"/>
  <c r="N31" i="5"/>
  <c r="L31" i="5"/>
  <c r="N68" i="11"/>
  <c r="O68" i="11"/>
  <c r="P68" i="11"/>
  <c r="Q68" i="11"/>
  <c r="J68" i="11"/>
  <c r="F68" i="11"/>
  <c r="K68" i="11"/>
  <c r="M68" i="11"/>
  <c r="G68" i="11"/>
  <c r="K67" i="4"/>
  <c r="F67" i="4"/>
  <c r="Q67" i="4"/>
  <c r="O67" i="4"/>
  <c r="M67" i="4"/>
  <c r="L67" i="4"/>
  <c r="J67" i="4"/>
  <c r="P67" i="4"/>
  <c r="G67" i="4"/>
  <c r="I31" i="11"/>
  <c r="K31" i="11"/>
  <c r="O31" i="11"/>
  <c r="N31" i="11"/>
  <c r="M31" i="11"/>
  <c r="F31" i="11"/>
  <c r="G31" i="11"/>
  <c r="F67" i="8"/>
  <c r="N67" i="8"/>
  <c r="I67" i="8"/>
  <c r="G67" i="8"/>
  <c r="K67" i="8"/>
  <c r="O67" i="8"/>
  <c r="Q67" i="8"/>
  <c r="J67" i="8"/>
  <c r="L67" i="8"/>
  <c r="P67" i="8"/>
  <c r="H67" i="8"/>
  <c r="C33" i="11" l="1"/>
  <c r="C35" i="10"/>
  <c r="C32" i="9"/>
  <c r="C34" i="8"/>
  <c r="C32" i="7"/>
  <c r="C68" i="6"/>
  <c r="C34" i="6"/>
  <c r="C33" i="5"/>
  <c r="C32" i="4"/>
  <c r="M68" i="8"/>
  <c r="H30" i="4"/>
  <c r="M67" i="8"/>
  <c r="H68" i="5"/>
  <c r="N67" i="4"/>
  <c r="O30" i="4"/>
  <c r="I31" i="5"/>
  <c r="H67" i="11"/>
  <c r="H33" i="10"/>
  <c r="H30" i="9"/>
  <c r="E68" i="6"/>
  <c r="F68" i="6" s="1"/>
  <c r="N33" i="10"/>
  <c r="I67" i="4"/>
  <c r="H67" i="4"/>
  <c r="M31" i="5"/>
  <c r="I68" i="6"/>
  <c r="H31" i="5"/>
  <c r="H67" i="5"/>
  <c r="H68" i="11"/>
  <c r="K68" i="6"/>
  <c r="E33" i="8"/>
  <c r="I68" i="11"/>
  <c r="E67" i="6"/>
  <c r="F67" i="6" s="1"/>
  <c r="J68" i="8"/>
  <c r="L68" i="6"/>
  <c r="H32" i="8"/>
  <c r="E32" i="5"/>
  <c r="M32" i="5"/>
  <c r="P33" i="8"/>
  <c r="L67" i="6"/>
  <c r="O68" i="6"/>
  <c r="E33" i="6"/>
  <c r="H32" i="6"/>
  <c r="K67" i="6"/>
  <c r="H30" i="7"/>
  <c r="I33" i="8"/>
  <c r="K33" i="6"/>
  <c r="J67" i="6"/>
  <c r="L30" i="7"/>
  <c r="H31" i="11"/>
  <c r="G33" i="8"/>
  <c r="J33" i="6"/>
  <c r="E34" i="10"/>
  <c r="F34" i="10"/>
  <c r="M68" i="6"/>
  <c r="Q68" i="6"/>
  <c r="P33" i="6"/>
  <c r="O67" i="6"/>
  <c r="P34" i="10"/>
  <c r="O33" i="10"/>
  <c r="J30" i="7"/>
  <c r="H67" i="7"/>
  <c r="G32" i="5"/>
  <c r="G67" i="9"/>
  <c r="E31" i="9"/>
  <c r="M67" i="6"/>
  <c r="N33" i="6"/>
  <c r="J68" i="6"/>
  <c r="L33" i="6"/>
  <c r="G67" i="6"/>
  <c r="L31" i="9"/>
  <c r="P67" i="11"/>
  <c r="H68" i="7"/>
  <c r="H68" i="8"/>
  <c r="G68" i="6"/>
  <c r="E31" i="7"/>
  <c r="P31" i="7"/>
  <c r="O32" i="5"/>
  <c r="P31" i="11"/>
  <c r="M33" i="8"/>
  <c r="G33" i="6"/>
  <c r="P67" i="6"/>
  <c r="G31" i="7"/>
  <c r="G31" i="9"/>
  <c r="H68" i="4"/>
  <c r="K32" i="8"/>
  <c r="E31" i="4"/>
  <c r="Q32" i="5"/>
  <c r="P31" i="9"/>
  <c r="J31" i="9"/>
  <c r="N34" i="10"/>
  <c r="L33" i="8"/>
  <c r="I33" i="6"/>
  <c r="N67" i="6"/>
  <c r="Q31" i="7"/>
  <c r="H66" i="6"/>
  <c r="F33" i="6"/>
  <c r="Q33" i="8"/>
  <c r="J33" i="8"/>
  <c r="E32" i="11"/>
  <c r="N31" i="7"/>
  <c r="K33" i="8"/>
  <c r="N33" i="8"/>
  <c r="O33" i="8"/>
  <c r="F33" i="8"/>
  <c r="L32" i="5"/>
  <c r="K32" i="5"/>
  <c r="F32" i="5"/>
  <c r="J32" i="5"/>
  <c r="N32" i="5"/>
  <c r="Q33" i="6"/>
  <c r="O33" i="6"/>
  <c r="M33" i="6"/>
  <c r="O34" i="10"/>
  <c r="M34" i="10"/>
  <c r="L34" i="10"/>
  <c r="G34" i="10"/>
  <c r="Q34" i="10"/>
  <c r="I34" i="10"/>
  <c r="J34" i="10"/>
  <c r="K34" i="10"/>
  <c r="K31" i="9"/>
  <c r="F31" i="9"/>
  <c r="N31" i="9"/>
  <c r="Q31" i="9"/>
  <c r="O31" i="9"/>
  <c r="I31" i="9"/>
  <c r="H31" i="9"/>
  <c r="M31" i="9"/>
  <c r="M31" i="7"/>
  <c r="J31" i="7"/>
  <c r="K31" i="7"/>
  <c r="O31" i="7"/>
  <c r="F31" i="7"/>
  <c r="L31" i="7"/>
  <c r="I31" i="7"/>
  <c r="G31" i="4"/>
  <c r="L31" i="4"/>
  <c r="J31" i="4"/>
  <c r="F31" i="4"/>
  <c r="K31" i="4"/>
  <c r="O31" i="4"/>
  <c r="Q31" i="4"/>
  <c r="N31" i="4"/>
  <c r="M31" i="4"/>
  <c r="P31" i="4"/>
  <c r="G32" i="11"/>
  <c r="F32" i="11"/>
  <c r="J32" i="11"/>
  <c r="L32" i="11"/>
  <c r="I32" i="11"/>
  <c r="P32" i="11"/>
  <c r="K32" i="11"/>
  <c r="N32" i="11"/>
  <c r="Q32" i="11"/>
  <c r="M32" i="11"/>
  <c r="O32" i="11"/>
  <c r="C34" i="11" l="1"/>
  <c r="C36" i="10"/>
  <c r="C35" i="8"/>
  <c r="C33" i="9"/>
  <c r="C33" i="7"/>
  <c r="C35" i="6"/>
  <c r="C34" i="5"/>
  <c r="C33" i="4"/>
  <c r="E34" i="8"/>
  <c r="N34" i="8"/>
  <c r="I67" i="6"/>
  <c r="H31" i="7"/>
  <c r="P32" i="5"/>
  <c r="H34" i="10"/>
  <c r="N68" i="6"/>
  <c r="E33" i="5"/>
  <c r="P33" i="5"/>
  <c r="Q67" i="6"/>
  <c r="H32" i="5"/>
  <c r="I33" i="5"/>
  <c r="E34" i="6"/>
  <c r="F34" i="8"/>
  <c r="O34" i="8"/>
  <c r="Q34" i="6"/>
  <c r="E35" i="10"/>
  <c r="G33" i="5"/>
  <c r="P68" i="6"/>
  <c r="Q34" i="8"/>
  <c r="H67" i="6"/>
  <c r="M33" i="5"/>
  <c r="P34" i="8"/>
  <c r="P34" i="6"/>
  <c r="H32" i="11"/>
  <c r="I32" i="5"/>
  <c r="E32" i="4"/>
  <c r="H33" i="8"/>
  <c r="G34" i="8"/>
  <c r="L34" i="8"/>
  <c r="M32" i="4"/>
  <c r="Q33" i="5"/>
  <c r="H33" i="6"/>
  <c r="N32" i="4"/>
  <c r="M34" i="8"/>
  <c r="P32" i="4"/>
  <c r="K33" i="5"/>
  <c r="L33" i="5"/>
  <c r="E32" i="7"/>
  <c r="I34" i="6"/>
  <c r="Q35" i="10"/>
  <c r="O34" i="6"/>
  <c r="K32" i="4"/>
  <c r="H31" i="4"/>
  <c r="I31" i="4"/>
  <c r="I34" i="8"/>
  <c r="E32" i="9"/>
  <c r="J35" i="10"/>
  <c r="M34" i="6"/>
  <c r="F32" i="7"/>
  <c r="E33" i="11"/>
  <c r="H68" i="6"/>
  <c r="N33" i="11"/>
  <c r="O32" i="9"/>
  <c r="N32" i="9"/>
  <c r="K34" i="8"/>
  <c r="J33" i="11"/>
  <c r="M32" i="9"/>
  <c r="F33" i="5"/>
  <c r="O33" i="5"/>
  <c r="J33" i="5"/>
  <c r="N33" i="5"/>
  <c r="G34" i="6"/>
  <c r="K34" i="6"/>
  <c r="N34" i="6"/>
  <c r="J34" i="6"/>
  <c r="L34" i="6"/>
  <c r="F34" i="6"/>
  <c r="N35" i="10"/>
  <c r="I35" i="10"/>
  <c r="F35" i="10"/>
  <c r="O35" i="10"/>
  <c r="K35" i="10"/>
  <c r="M35" i="10"/>
  <c r="G35" i="10"/>
  <c r="L35" i="10"/>
  <c r="P35" i="10"/>
  <c r="I32" i="4"/>
  <c r="F32" i="4"/>
  <c r="L32" i="4"/>
  <c r="O32" i="4"/>
  <c r="K32" i="7"/>
  <c r="M32" i="7"/>
  <c r="J32" i="7"/>
  <c r="L32" i="7"/>
  <c r="I32" i="7"/>
  <c r="Q32" i="7"/>
  <c r="P32" i="7"/>
  <c r="G32" i="7"/>
  <c r="N32" i="7"/>
  <c r="F32" i="9"/>
  <c r="L32" i="9"/>
  <c r="I32" i="9"/>
  <c r="J32" i="9"/>
  <c r="P32" i="9"/>
  <c r="K32" i="9"/>
  <c r="G32" i="9"/>
  <c r="Q32" i="9"/>
  <c r="I33" i="11"/>
  <c r="O33" i="11"/>
  <c r="M33" i="11"/>
  <c r="Q33" i="11"/>
  <c r="P33" i="11"/>
  <c r="G33" i="11"/>
  <c r="F33" i="11"/>
  <c r="K33" i="11"/>
  <c r="C37" i="10" l="1"/>
  <c r="C35" i="11"/>
  <c r="C34" i="9"/>
  <c r="C36" i="8"/>
  <c r="C36" i="6"/>
  <c r="C34" i="7"/>
  <c r="C35" i="5"/>
  <c r="C34" i="4"/>
  <c r="E36" i="10"/>
  <c r="E35" i="8"/>
  <c r="F35" i="8"/>
  <c r="H34" i="6"/>
  <c r="F36" i="10"/>
  <c r="O36" i="10"/>
  <c r="K36" i="10"/>
  <c r="K35" i="8"/>
  <c r="H32" i="7"/>
  <c r="J34" i="8"/>
  <c r="M36" i="10"/>
  <c r="L35" i="8"/>
  <c r="E33" i="7"/>
  <c r="H33" i="5"/>
  <c r="I36" i="10"/>
  <c r="J35" i="8"/>
  <c r="Q32" i="4"/>
  <c r="E37" i="10"/>
  <c r="H32" i="4"/>
  <c r="O33" i="7"/>
  <c r="Q36" i="10"/>
  <c r="M35" i="8"/>
  <c r="E35" i="6"/>
  <c r="E33" i="9"/>
  <c r="L35" i="6"/>
  <c r="P36" i="10"/>
  <c r="L36" i="10"/>
  <c r="L33" i="7"/>
  <c r="E34" i="11"/>
  <c r="J33" i="9"/>
  <c r="G35" i="8"/>
  <c r="G33" i="7"/>
  <c r="E34" i="5"/>
  <c r="J35" i="6"/>
  <c r="H34" i="8"/>
  <c r="L33" i="11"/>
  <c r="J37" i="10"/>
  <c r="F33" i="9"/>
  <c r="P35" i="6"/>
  <c r="M33" i="7"/>
  <c r="N37" i="10"/>
  <c r="H32" i="9"/>
  <c r="K34" i="11"/>
  <c r="G37" i="10"/>
  <c r="G32" i="4"/>
  <c r="J33" i="7"/>
  <c r="H33" i="9"/>
  <c r="N34" i="11"/>
  <c r="M35" i="6"/>
  <c r="P35" i="8"/>
  <c r="I33" i="7"/>
  <c r="E33" i="4"/>
  <c r="F37" i="10"/>
  <c r="G33" i="9"/>
  <c r="O34" i="11"/>
  <c r="N33" i="4"/>
  <c r="G36" i="10"/>
  <c r="M37" i="10"/>
  <c r="I34" i="11"/>
  <c r="I35" i="8"/>
  <c r="F33" i="7"/>
  <c r="I33" i="4"/>
  <c r="M34" i="11"/>
  <c r="K33" i="4"/>
  <c r="G34" i="11"/>
  <c r="K37" i="10"/>
  <c r="J32" i="4"/>
  <c r="N34" i="5"/>
  <c r="J34" i="11"/>
  <c r="Q35" i="8"/>
  <c r="K34" i="5"/>
  <c r="Q34" i="11"/>
  <c r="H35" i="10"/>
  <c r="H33" i="4"/>
  <c r="O32" i="7"/>
  <c r="F34" i="11"/>
  <c r="K33" i="9"/>
  <c r="O35" i="8"/>
  <c r="O34" i="5"/>
  <c r="M33" i="9"/>
  <c r="H33" i="11"/>
  <c r="Q35" i="6"/>
  <c r="G34" i="5"/>
  <c r="N35" i="8"/>
  <c r="F33" i="4"/>
  <c r="Q33" i="9"/>
  <c r="N36" i="10"/>
  <c r="L33" i="9"/>
  <c r="N33" i="7"/>
  <c r="Q33" i="7"/>
  <c r="P37" i="10"/>
  <c r="O37" i="10"/>
  <c r="I37" i="10"/>
  <c r="G35" i="6"/>
  <c r="O35" i="6"/>
  <c r="F35" i="6"/>
  <c r="N35" i="6"/>
  <c r="K35" i="6"/>
  <c r="P33" i="9"/>
  <c r="N33" i="9"/>
  <c r="O33" i="9"/>
  <c r="P34" i="11"/>
  <c r="L34" i="11"/>
  <c r="J34" i="5"/>
  <c r="L34" i="5"/>
  <c r="Q34" i="5"/>
  <c r="P34" i="5"/>
  <c r="I34" i="5"/>
  <c r="F34" i="5"/>
  <c r="O33" i="4"/>
  <c r="G33" i="4"/>
  <c r="P33" i="4"/>
  <c r="J33" i="4"/>
  <c r="Q33" i="4"/>
  <c r="C36" i="11" l="1"/>
  <c r="C37" i="8"/>
  <c r="C35" i="9"/>
  <c r="C35" i="7"/>
  <c r="C37" i="6"/>
  <c r="C36" i="5"/>
  <c r="C35" i="4"/>
  <c r="E36" i="8"/>
  <c r="H36" i="10"/>
  <c r="H35" i="8"/>
  <c r="E34" i="9"/>
  <c r="H37" i="10"/>
  <c r="Q34" i="9"/>
  <c r="E36" i="6"/>
  <c r="L36" i="6" s="1"/>
  <c r="K34" i="9"/>
  <c r="I35" i="6"/>
  <c r="M36" i="6"/>
  <c r="E35" i="5"/>
  <c r="J34" i="9"/>
  <c r="J35" i="5"/>
  <c r="M34" i="9"/>
  <c r="Q36" i="8"/>
  <c r="E34" i="4"/>
  <c r="L36" i="8"/>
  <c r="M33" i="4"/>
  <c r="M34" i="5"/>
  <c r="F34" i="4"/>
  <c r="G35" i="5"/>
  <c r="K33" i="7"/>
  <c r="H33" i="7"/>
  <c r="I34" i="4"/>
  <c r="E37" i="6"/>
  <c r="J34" i="4"/>
  <c r="H35" i="6"/>
  <c r="F36" i="8"/>
  <c r="H34" i="5"/>
  <c r="G34" i="9"/>
  <c r="E35" i="11"/>
  <c r="P36" i="8"/>
  <c r="F34" i="9"/>
  <c r="H34" i="9"/>
  <c r="N36" i="6"/>
  <c r="L37" i="6"/>
  <c r="N34" i="9"/>
  <c r="N35" i="5"/>
  <c r="O35" i="11"/>
  <c r="G36" i="8"/>
  <c r="K34" i="4"/>
  <c r="I37" i="6"/>
  <c r="N35" i="11"/>
  <c r="E37" i="8"/>
  <c r="L35" i="5"/>
  <c r="L35" i="11"/>
  <c r="I34" i="9"/>
  <c r="Q37" i="8"/>
  <c r="I37" i="8"/>
  <c r="L34" i="4"/>
  <c r="O34" i="9"/>
  <c r="O37" i="8"/>
  <c r="K36" i="6"/>
  <c r="G37" i="6"/>
  <c r="L33" i="4"/>
  <c r="P35" i="11"/>
  <c r="Q37" i="10"/>
  <c r="M37" i="8"/>
  <c r="P34" i="4"/>
  <c r="E34" i="7"/>
  <c r="J36" i="10"/>
  <c r="G37" i="8"/>
  <c r="F36" i="6"/>
  <c r="K35" i="5"/>
  <c r="M37" i="6"/>
  <c r="Q35" i="11"/>
  <c r="I36" i="8"/>
  <c r="M36" i="8"/>
  <c r="N36" i="8"/>
  <c r="K37" i="8"/>
  <c r="G36" i="6"/>
  <c r="J37" i="8"/>
  <c r="O36" i="6"/>
  <c r="M35" i="5"/>
  <c r="H34" i="11"/>
  <c r="I35" i="11"/>
  <c r="J35" i="11"/>
  <c r="L34" i="9"/>
  <c r="K36" i="8"/>
  <c r="J36" i="6"/>
  <c r="F37" i="8"/>
  <c r="P36" i="6"/>
  <c r="O37" i="6"/>
  <c r="P34" i="9"/>
  <c r="L37" i="10"/>
  <c r="I33" i="9"/>
  <c r="O34" i="4"/>
  <c r="N37" i="8"/>
  <c r="I36" i="6"/>
  <c r="Q35" i="5"/>
  <c r="P33" i="7"/>
  <c r="O36" i="8"/>
  <c r="I34" i="7"/>
  <c r="Q34" i="4"/>
  <c r="N37" i="6"/>
  <c r="P35" i="5"/>
  <c r="F35" i="5"/>
  <c r="M34" i="4"/>
  <c r="G34" i="4"/>
  <c r="N34" i="4"/>
  <c r="J37" i="6"/>
  <c r="K37" i="6"/>
  <c r="F37" i="6"/>
  <c r="Q37" i="6"/>
  <c r="P37" i="6"/>
  <c r="G35" i="11"/>
  <c r="K35" i="11"/>
  <c r="M35" i="11"/>
  <c r="L37" i="8"/>
  <c r="P37" i="8"/>
  <c r="M34" i="7"/>
  <c r="P34" i="7"/>
  <c r="N34" i="7"/>
  <c r="L34" i="7"/>
  <c r="G34" i="7"/>
  <c r="J34" i="7"/>
  <c r="K34" i="7"/>
  <c r="F34" i="7"/>
  <c r="O34" i="7"/>
  <c r="Q34" i="7"/>
  <c r="C37" i="11" l="1"/>
  <c r="C36" i="9"/>
  <c r="C36" i="7"/>
  <c r="C37" i="5"/>
  <c r="C36" i="4"/>
  <c r="O35" i="5"/>
  <c r="E36" i="5"/>
  <c r="O36" i="5" s="1"/>
  <c r="H36" i="8"/>
  <c r="H37" i="8"/>
  <c r="E35" i="4"/>
  <c r="H34" i="7"/>
  <c r="P36" i="5"/>
  <c r="H34" i="4"/>
  <c r="E36" i="11"/>
  <c r="L36" i="5"/>
  <c r="H35" i="11"/>
  <c r="H36" i="6"/>
  <c r="O36" i="11"/>
  <c r="E37" i="11"/>
  <c r="L35" i="4"/>
  <c r="J36" i="11"/>
  <c r="N36" i="5"/>
  <c r="Q36" i="5"/>
  <c r="I36" i="5"/>
  <c r="F36" i="11"/>
  <c r="G37" i="11"/>
  <c r="M35" i="4"/>
  <c r="L36" i="11"/>
  <c r="I37" i="11"/>
  <c r="J36" i="5"/>
  <c r="G36" i="5"/>
  <c r="F35" i="11"/>
  <c r="Q36" i="6"/>
  <c r="N35" i="4"/>
  <c r="N36" i="11"/>
  <c r="P35" i="4"/>
  <c r="F36" i="5"/>
  <c r="J36" i="8"/>
  <c r="H37" i="6"/>
  <c r="L37" i="11"/>
  <c r="P36" i="11"/>
  <c r="E35" i="7"/>
  <c r="E37" i="5"/>
  <c r="J35" i="4"/>
  <c r="J37" i="11"/>
  <c r="J37" i="5"/>
  <c r="M35" i="7"/>
  <c r="F35" i="4"/>
  <c r="H35" i="5"/>
  <c r="P35" i="7"/>
  <c r="I36" i="11"/>
  <c r="M36" i="5"/>
  <c r="F35" i="7"/>
  <c r="P37" i="11"/>
  <c r="O35" i="7"/>
  <c r="E35" i="9"/>
  <c r="I35" i="5"/>
  <c r="K36" i="11"/>
  <c r="I35" i="4"/>
  <c r="O35" i="4"/>
  <c r="K35" i="4"/>
  <c r="G35" i="4"/>
  <c r="G36" i="11"/>
  <c r="Q36" i="11"/>
  <c r="M36" i="11"/>
  <c r="F37" i="11"/>
  <c r="Q37" i="11"/>
  <c r="K37" i="11"/>
  <c r="N37" i="11"/>
  <c r="M37" i="11"/>
  <c r="O37" i="11"/>
  <c r="N35" i="7"/>
  <c r="L35" i="7"/>
  <c r="G35" i="7"/>
  <c r="I35" i="7"/>
  <c r="K35" i="7"/>
  <c r="Q35" i="7"/>
  <c r="F37" i="5"/>
  <c r="K37" i="5"/>
  <c r="Q37" i="5"/>
  <c r="P37" i="5"/>
  <c r="G37" i="5"/>
  <c r="L37" i="5"/>
  <c r="I37" i="5"/>
  <c r="N37" i="5"/>
  <c r="O35" i="9"/>
  <c r="I35" i="9"/>
  <c r="J35" i="9"/>
  <c r="K35" i="9"/>
  <c r="F35" i="9"/>
  <c r="P35" i="9"/>
  <c r="N35" i="9"/>
  <c r="Q35" i="9"/>
  <c r="L35" i="9"/>
  <c r="G35" i="9"/>
  <c r="H35" i="9"/>
  <c r="C37" i="9" l="1"/>
  <c r="C37" i="7"/>
  <c r="C37" i="4"/>
  <c r="Q35" i="4"/>
  <c r="O37" i="5"/>
  <c r="E36" i="7"/>
  <c r="H37" i="11"/>
  <c r="K36" i="7"/>
  <c r="H36" i="5"/>
  <c r="J36" i="7"/>
  <c r="O36" i="7"/>
  <c r="H35" i="7"/>
  <c r="P36" i="7"/>
  <c r="H36" i="11"/>
  <c r="L36" i="7"/>
  <c r="E36" i="4"/>
  <c r="M36" i="7"/>
  <c r="J36" i="4"/>
  <c r="L36" i="4"/>
  <c r="H37" i="5"/>
  <c r="F36" i="7"/>
  <c r="G36" i="4"/>
  <c r="N36" i="4"/>
  <c r="F36" i="4"/>
  <c r="N36" i="7"/>
  <c r="Q36" i="7"/>
  <c r="H35" i="4"/>
  <c r="I36" i="7"/>
  <c r="G36" i="7"/>
  <c r="M37" i="5"/>
  <c r="M35" i="9"/>
  <c r="E37" i="9"/>
  <c r="I37" i="9"/>
  <c r="O36" i="4"/>
  <c r="E36" i="9"/>
  <c r="P36" i="4"/>
  <c r="N36" i="9"/>
  <c r="L37" i="9"/>
  <c r="M36" i="4"/>
  <c r="J36" i="9"/>
  <c r="I36" i="9"/>
  <c r="K36" i="5"/>
  <c r="L36" i="9"/>
  <c r="P37" i="9"/>
  <c r="E37" i="4"/>
  <c r="K36" i="9"/>
  <c r="H36" i="4"/>
  <c r="J35" i="7"/>
  <c r="H36" i="7"/>
  <c r="G36" i="9"/>
  <c r="O37" i="9"/>
  <c r="E37" i="7"/>
  <c r="K37" i="4"/>
  <c r="Q37" i="9"/>
  <c r="I36" i="4"/>
  <c r="Q36" i="4"/>
  <c r="N37" i="9"/>
  <c r="M37" i="9"/>
  <c r="H37" i="9"/>
  <c r="F37" i="9"/>
  <c r="K37" i="9"/>
  <c r="G37" i="9"/>
  <c r="J37" i="9"/>
  <c r="Q36" i="9"/>
  <c r="H36" i="9"/>
  <c r="P36" i="9"/>
  <c r="M36" i="9"/>
  <c r="O36" i="9"/>
  <c r="F36" i="9"/>
  <c r="L37" i="4"/>
  <c r="I37" i="4"/>
  <c r="F37" i="4"/>
  <c r="J37" i="4"/>
  <c r="O37" i="4"/>
  <c r="H37" i="4"/>
  <c r="G37" i="4"/>
  <c r="M37" i="4"/>
  <c r="N37" i="4"/>
  <c r="Q37" i="4"/>
  <c r="P37" i="4"/>
  <c r="J37" i="7"/>
  <c r="K37" i="7"/>
  <c r="N37" i="7"/>
  <c r="O37" i="7"/>
  <c r="G37" i="7"/>
  <c r="Q37" i="7"/>
  <c r="F37" i="7"/>
  <c r="P37" i="7"/>
  <c r="M37" i="7"/>
  <c r="L37" i="7"/>
  <c r="H37" i="7"/>
  <c r="I37" i="7"/>
  <c r="K36" i="4"/>
</calcChain>
</file>

<file path=xl/sharedStrings.xml><?xml version="1.0" encoding="utf-8"?>
<sst xmlns="http://schemas.openxmlformats.org/spreadsheetml/2006/main" count="2459" uniqueCount="93">
  <si>
    <t>権利行使価格</t>
  </si>
  <si>
    <t>現在値</t>
  </si>
  <si>
    <t>現在値詳細時刻</t>
  </si>
  <si>
    <t>IV</t>
  </si>
  <si>
    <t>デルタ</t>
  </si>
  <si>
    <t>ガンマ</t>
  </si>
  <si>
    <t>ベガ</t>
  </si>
  <si>
    <t>セータ</t>
  </si>
  <si>
    <t>ロー</t>
  </si>
  <si>
    <t>最良売気配値1</t>
  </si>
  <si>
    <t>最良買気配値1</t>
  </si>
  <si>
    <t>銘柄</t>
    <rPh sb="0" eb="2">
      <t>メイガラ</t>
    </rPh>
    <phoneticPr fontId="1"/>
  </si>
  <si>
    <t>限月</t>
    <rPh sb="0" eb="2">
      <t>ゲンゲツ</t>
    </rPh>
    <phoneticPr fontId="1"/>
  </si>
  <si>
    <t>C/P</t>
    <phoneticPr fontId="1"/>
  </si>
  <si>
    <t>N225MOP</t>
    <phoneticPr fontId="1"/>
  </si>
  <si>
    <t>C</t>
    <phoneticPr fontId="1"/>
  </si>
  <si>
    <t>P</t>
    <phoneticPr fontId="1"/>
  </si>
  <si>
    <t>銘柄コード</t>
    <rPh sb="0" eb="2">
      <t>メイガラ</t>
    </rPh>
    <phoneticPr fontId="1"/>
  </si>
  <si>
    <t>202310#3</t>
    <phoneticPr fontId="1"/>
  </si>
  <si>
    <t>202310#4</t>
    <phoneticPr fontId="1"/>
  </si>
  <si>
    <t>202311#1</t>
    <phoneticPr fontId="1"/>
  </si>
  <si>
    <t>前日比</t>
  </si>
  <si>
    <t>残存日数</t>
  </si>
  <si>
    <t>銘柄</t>
    <phoneticPr fontId="1"/>
  </si>
  <si>
    <t>限月</t>
    <phoneticPr fontId="1"/>
  </si>
  <si>
    <t>権利行使価格</t>
    <phoneticPr fontId="1"/>
  </si>
  <si>
    <t>銘柄コード</t>
    <phoneticPr fontId="1"/>
  </si>
  <si>
    <t>現在値詳細時刻</t>
    <phoneticPr fontId="1"/>
  </si>
  <si>
    <t>現在値</t>
    <phoneticPr fontId="1"/>
  </si>
  <si>
    <t>前日比</t>
    <phoneticPr fontId="1"/>
  </si>
  <si>
    <t>最良売気配値1</t>
    <phoneticPr fontId="1"/>
  </si>
  <si>
    <t>最良買気配値1</t>
    <phoneticPr fontId="1"/>
  </si>
  <si>
    <t>IV</t>
    <phoneticPr fontId="1"/>
  </si>
  <si>
    <t>デルタ</t>
    <phoneticPr fontId="1"/>
  </si>
  <si>
    <t>ガンマ</t>
    <phoneticPr fontId="1"/>
  </si>
  <si>
    <t>ベガ</t>
    <phoneticPr fontId="1"/>
  </si>
  <si>
    <t>セータ</t>
    <phoneticPr fontId="1"/>
  </si>
  <si>
    <t>ロー</t>
    <phoneticPr fontId="1"/>
  </si>
  <si>
    <t>残存日数</t>
    <phoneticPr fontId="1"/>
  </si>
  <si>
    <t>N225F</t>
    <phoneticPr fontId="1"/>
  </si>
  <si>
    <t>N225MF</t>
    <phoneticPr fontId="1"/>
  </si>
  <si>
    <t>N225UF</t>
    <phoneticPr fontId="1"/>
  </si>
  <si>
    <t>日</t>
  </si>
  <si>
    <t>元日</t>
  </si>
  <si>
    <t>月</t>
  </si>
  <si>
    <t>休日</t>
  </si>
  <si>
    <t>成人の日</t>
  </si>
  <si>
    <t>土</t>
  </si>
  <si>
    <t>建国記念の日</t>
  </si>
  <si>
    <t>木</t>
  </si>
  <si>
    <t>天皇誕生日</t>
  </si>
  <si>
    <t>火</t>
  </si>
  <si>
    <t>春分の日</t>
  </si>
  <si>
    <t>昭和の日</t>
  </si>
  <si>
    <t>水</t>
  </si>
  <si>
    <t>憲法記念日</t>
  </si>
  <si>
    <t>みどりの日</t>
  </si>
  <si>
    <t>金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</si>
  <si>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</si>
  <si>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</si>
  <si>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</si>
  <si>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</si>
  <si>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</si>
  <si>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</si>
  <si>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</si>
  <si>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</si>
  <si>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日付</t>
  </si>
  <si>
    <t>曜日</t>
  </si>
  <si>
    <t>名称</t>
  </si>
  <si>
    <t>祝日一覧</t>
  </si>
  <si>
    <t>火</t>
    <rPh sb="0" eb="1">
      <t>ヒ</t>
    </rPh>
    <phoneticPr fontId="1"/>
  </si>
  <si>
    <t>休場</t>
    <rPh sb="0" eb="2">
      <t>キュウジョウ</t>
    </rPh>
    <phoneticPr fontId="1"/>
  </si>
  <si>
    <t>日</t>
    <phoneticPr fontId="1"/>
  </si>
  <si>
    <t>前日</t>
    <rPh sb="0" eb="2">
      <t>ゼンジツ</t>
    </rPh>
    <phoneticPr fontId="1"/>
  </si>
  <si>
    <t>本日</t>
    <rPh sb="0" eb="2">
      <t>ホンジツ</t>
    </rPh>
    <phoneticPr fontId="1"/>
  </si>
  <si>
    <t>場所</t>
    <rPh sb="0" eb="2">
      <t>バショ</t>
    </rPh>
    <phoneticPr fontId="1"/>
  </si>
  <si>
    <t>間隔</t>
    <rPh sb="0" eb="2">
      <t>カンカク</t>
    </rPh>
    <phoneticPr fontId="1"/>
  </si>
  <si>
    <t>D:\Share\data\</t>
    <phoneticPr fontId="1"/>
  </si>
  <si>
    <t>銘柄</t>
    <phoneticPr fontId="1"/>
  </si>
  <si>
    <t>限月</t>
    <phoneticPr fontId="1"/>
  </si>
  <si>
    <t>銘柄コード</t>
    <phoneticPr fontId="1"/>
  </si>
  <si>
    <t>現在値詳細時刻</t>
    <phoneticPr fontId="1"/>
  </si>
  <si>
    <t>現在値</t>
    <phoneticPr fontId="1"/>
  </si>
  <si>
    <t>前日比</t>
    <phoneticPr fontId="1"/>
  </si>
  <si>
    <t>最良売気配値1</t>
    <phoneticPr fontId="1"/>
  </si>
  <si>
    <t>最良買気配値1</t>
    <phoneticPr fontId="1"/>
  </si>
  <si>
    <t>N225F</t>
    <phoneticPr fontId="1"/>
  </si>
  <si>
    <t>マーケットスピード II にログインして「接続中」の状態に変更してから利用してください。</t>
    <phoneticPr fontId="1"/>
  </si>
  <si>
    <t>N225MF</t>
    <phoneticPr fontId="1"/>
  </si>
  <si>
    <t>N225UF</t>
    <phoneticPr fontId="1"/>
  </si>
  <si>
    <t>マーケットスピード II にログインして「接続中」の状態に変更してから利用してください。</t>
    <phoneticPr fontId="1"/>
  </si>
  <si>
    <t>停止中</t>
    <phoneticPr fontId="1"/>
  </si>
  <si>
    <t>D:\投資\RecMiniOP\data\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</si>
</sst>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400]h:mm:ss\ AM/PM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333333"/>
      <name val="Arial"/>
      <family val="2"/>
    </font>
    <font>
      <sz val="11"/>
      <color rgb="FF000000"/>
      <name val="游ゴシック"/>
      <family val="3"/>
      <charset val="128"/>
    </font>
    <font>
      <sz val="12"/>
      <color rgb="FF333333"/>
      <name val="Arial"/>
      <family val="2"/>
    </font>
    <font>
      <sz val="10"/>
      <color rgb="FF222222"/>
      <name val="メイリオ"/>
      <family val="3"/>
      <charset val="128"/>
    </font>
    <font>
      <sz val="10"/>
      <name val="メイリオ"/>
      <family val="3"/>
      <charset val="128"/>
    </font>
    <font>
      <sz val="10"/>
      <color rgb="FFFFFFFF"/>
      <name val="メイリオ"/>
      <family val="3"/>
      <charset val="128"/>
    </font>
    <font>
      <u/>
      <sz val="11"/>
      <color theme="1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4F81BD"/>
        <bgColor indexed="64"/>
      </patternFill>
    </fill>
  </fills>
  <borders count="3">
    <border>
      <left/>
      <right/>
      <top/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>
      <alignment vertical="center"/>
    </xf>
    <xf numFmtId="21" fontId="0" fillId="0" borderId="0" xfId="0" applyNumberFormat="1">
      <alignment vertical="center"/>
    </xf>
    <xf numFmtId="0" fontId="0" fillId="2" borderId="0" xfId="0" applyFill="1">
      <alignment vertical="center"/>
    </xf>
    <xf numFmtId="0" fontId="4" fillId="0" borderId="0" xfId="0" applyFont="1">
      <alignment vertical="center"/>
    </xf>
    <xf numFmtId="0" fontId="0" fillId="0" borderId="0" xfId="0" quotePrefix="1">
      <alignment vertical="center"/>
    </xf>
    <xf numFmtId="14" fontId="0" fillId="0" borderId="0" xfId="0" applyNumberFormat="1">
      <alignment vertical="center"/>
    </xf>
    <xf numFmtId="0" fontId="5" fillId="3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8" fillId="0" borderId="0" xfId="1">
      <alignment vertical="center"/>
    </xf>
    <xf numFmtId="14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4" borderId="2" xfId="0" applyFont="1" applyFill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aa3a8d4d84048bb976c05eb55ba5a5f">
      <tp t="s">
        <v/>
        <stp/>
        <stp>Market</stp>
        <stp>FOP</stp>
        <stp>マーケットスピード II にログインして「接続中」の状態に変更してから利用してください。</stp>
        <stp>IV</stp>
        <tr r="K36" s="4"/>
        <tr r="K37" s="7"/>
        <tr r="K37" s="9"/>
        <tr r="K37" s="4"/>
        <tr r="K36" s="9"/>
        <tr r="K36" s="5"/>
        <tr r="K36" s="7"/>
        <tr r="K35" s="9"/>
        <tr r="K37" s="5"/>
        <tr r="K35" s="7"/>
        <tr r="K37" s="11"/>
        <tr r="K35" s="4"/>
        <tr r="K36" s="11"/>
        <tr r="K34" s="7"/>
        <tr r="K35" s="11"/>
        <tr r="K37" s="6"/>
        <tr r="K36" s="8"/>
        <tr r="K37" s="8"/>
        <tr r="K35" s="5"/>
        <tr r="K36" s="6"/>
        <tr r="K34" s="4"/>
        <tr r="K33" s="7"/>
        <tr r="K34" s="9"/>
        <tr r="K35" s="6"/>
        <tr r="K33" s="9"/>
        <tr r="K34" s="5"/>
        <tr r="K37" s="10"/>
        <tr r="K33" s="4"/>
        <tr r="K34" s="11"/>
        <tr r="K35" s="8"/>
        <tr r="K36" s="10"/>
        <tr r="K33" s="11"/>
        <tr r="K32" s="9"/>
        <tr r="K32" s="7"/>
        <tr r="K35" s="10"/>
        <tr r="K34" s="6"/>
        <tr r="K34" s="8"/>
        <tr r="K32" s="4"/>
        <tr r="K33" s="5"/>
        <tr r="K32" s="11"/>
        <tr r="K31" s="4"/>
        <tr r="K31" s="7"/>
        <tr r="K31" s="9"/>
        <tr r="K34" s="10"/>
        <tr r="K32" s="5"/>
        <tr r="K33" s="8"/>
        <tr r="K32" s="8"/>
        <tr r="K33" s="6"/>
        <tr r="K67" s="6"/>
        <tr r="K68" s="6"/>
        <tr r="K67" s="8"/>
        <tr r="K31" s="11"/>
        <tr r="K67" s="4"/>
        <tr r="K68" s="11"/>
        <tr r="K31" s="5"/>
        <tr r="K30" s="7"/>
        <tr r="K67" s="9"/>
        <tr r="K32" s="6"/>
        <tr r="K68" s="9"/>
        <tr r="K33" s="10"/>
        <tr r="K67" s="5"/>
        <tr r="K67" s="7"/>
        <tr r="K30" s="9"/>
        <tr r="K68" s="4"/>
        <tr r="K30" s="4"/>
        <tr r="K68" s="10"/>
        <tr r="K68" s="5"/>
        <tr r="K67" s="11"/>
        <tr r="K68" s="8"/>
        <tr r="K66" s="6"/>
        <tr r="K68" s="7"/>
        <tr r="K29" s="9"/>
        <tr r="K66" s="11"/>
        <tr r="K29" s="7"/>
        <tr r="K66" s="9"/>
        <tr r="K66" s="8"/>
        <tr r="K29" s="4"/>
        <tr r="K32" s="10"/>
        <tr r="K66" s="5"/>
        <tr r="K31" s="6"/>
        <tr r="K67" s="10"/>
        <tr r="K65" s="6"/>
        <tr r="K66" s="7"/>
        <tr r="K30" s="11"/>
        <tr r="K31" s="8"/>
        <tr r="K65" s="9"/>
        <tr r="K66" s="4"/>
        <tr r="K30" s="5"/>
        <tr r="K29" s="11"/>
        <tr r="K30" s="8"/>
        <tr r="K66" s="10"/>
        <tr r="K28" s="7"/>
        <tr r="K30" s="6"/>
        <tr r="K65" s="11"/>
        <tr r="K65" s="5"/>
        <tr r="K64" s="6"/>
        <tr r="K28" s="9"/>
        <tr r="K29" s="5"/>
        <tr r="K65" s="7"/>
        <tr r="K28" s="4"/>
        <tr r="K65" s="4"/>
        <tr r="K65" s="8"/>
        <tr r="K31" s="10"/>
        <tr r="K65" s="10"/>
        <tr r="K64" s="4"/>
        <tr r="K27" s="7"/>
        <tr r="K28" s="11"/>
        <tr r="K64" s="11"/>
        <tr r="K29" s="8"/>
        <tr r="K64" s="8"/>
        <tr r="K64" s="9"/>
        <tr r="K63" s="6"/>
        <tr r="K30" s="10"/>
        <tr r="K64" s="7"/>
        <tr r="K64" s="5"/>
        <tr r="K29" s="6"/>
        <tr r="K27" s="4"/>
        <tr r="K27" s="9"/>
        <tr r="K28" s="5"/>
        <tr r="K26" s="9"/>
        <tr r="K63" s="4"/>
        <tr r="K26" s="7"/>
        <tr r="K28" s="6"/>
        <tr r="K63" s="5"/>
        <tr r="K27" s="5"/>
        <tr r="K28" s="8"/>
        <tr r="K63" s="11"/>
        <tr r="K29" s="10"/>
        <tr r="K64" s="10"/>
        <tr r="K63" s="8"/>
        <tr r="K63" s="7"/>
        <tr r="K26" s="4"/>
        <tr r="K63" s="9"/>
        <tr r="K62" s="6"/>
        <tr r="K27" s="11"/>
        <tr r="K27" s="8"/>
        <tr r="K62" s="4"/>
        <tr r="K62" s="11"/>
        <tr r="K62" s="8"/>
        <tr r="K62" s="7"/>
        <tr r="K61" s="6"/>
        <tr r="K26" s="5"/>
        <tr r="K26" s="11"/>
        <tr r="K62" s="9"/>
        <tr r="K25" s="4"/>
        <tr r="K63" s="10"/>
        <tr r="K25" s="7"/>
        <tr r="K28" s="10"/>
        <tr r="K25" s="9"/>
        <tr r="K62" s="5"/>
        <tr r="K27" s="6"/>
        <tr r="K61" s="9"/>
        <tr r="K26" s="8"/>
        <tr r="K26" s="6"/>
        <tr r="K24" s="4"/>
        <tr r="K24" s="7"/>
        <tr r="K62" s="10"/>
        <tr r="K61" s="7"/>
        <tr r="K25" s="11"/>
        <tr r="K61" s="4"/>
        <tr r="K25" s="5"/>
        <tr r="K61" s="8"/>
        <tr r="K27" s="10"/>
        <tr r="K24" s="9"/>
        <tr r="K61" s="11"/>
        <tr r="K60" s="6"/>
        <tr r="K61" s="5"/>
        <tr r="K59" s="6"/>
        <tr r="K60" s="8"/>
        <tr r="K26" s="10"/>
        <tr r="K61" s="10"/>
        <tr r="K24" s="11"/>
        <tr r="K25" s="6"/>
        <tr r="K60" s="5"/>
        <tr r="K60" s="9"/>
        <tr r="K23" s="9"/>
        <tr r="K24" s="5"/>
        <tr r="K25" s="8"/>
        <tr r="K23" s="7"/>
        <tr r="K60" s="11"/>
        <tr r="K60" s="4"/>
        <tr r="K60" s="7"/>
        <tr r="K23" s="4"/>
        <tr r="K24" s="6"/>
        <tr r="K59" s="11"/>
        <tr r="K59" s="4"/>
        <tr r="K59" s="5"/>
        <tr r="K24" s="8"/>
        <tr r="K25" s="10"/>
        <tr r="K59" s="9"/>
        <tr r="K59" s="8"/>
        <tr r="K58" s="6"/>
        <tr r="K23" s="11"/>
        <tr r="K59" s="7"/>
        <tr r="K22" s="4"/>
        <tr r="K22" s="5"/>
        <tr r="K22" s="7"/>
        <tr r="K60" s="10"/>
        <tr r="K22" s="9"/>
        <tr r="K23" s="5"/>
        <tr r="K58" s="9"/>
        <tr r="K24" s="10"/>
        <tr r="K23" s="6"/>
        <tr r="K58" s="5"/>
        <tr r="K58" s="7"/>
        <tr r="K58" s="4"/>
        <tr r="K57" s="6"/>
        <tr r="K22" s="11"/>
        <tr r="K58" s="8"/>
        <tr r="K21" s="7"/>
        <tr r="K21" s="4"/>
        <tr r="K58" s="11"/>
        <tr r="K21" s="9"/>
        <tr r="K23" s="8"/>
        <tr r="K59" s="10"/>
        <tr r="K22" s="8"/>
        <tr r="K57" s="4"/>
        <tr r="K21" s="5"/>
        <tr r="K58" s="10"/>
        <tr r="K20" s="4"/>
        <tr r="K23" s="10"/>
        <tr r="K57" s="7"/>
        <tr r="K19" s="7"/>
        <tr r="K56" s="6"/>
        <tr r="K21" s="11"/>
        <tr r="K57" s="8"/>
        <tr r="K57" s="11"/>
        <tr r="K57" s="9"/>
        <tr r="K20" s="7"/>
        <tr r="K20" s="9"/>
        <tr r="K57" s="5"/>
        <tr r="K22" s="6"/>
        <tr r="K21" s="6"/>
        <tr r="K56" s="5"/>
        <tr r="K56" s="4"/>
        <tr r="K56" s="11"/>
        <tr r="K21" s="8"/>
        <tr r="K22" s="10"/>
        <tr r="K55" s="6"/>
        <tr r="K56" s="9"/>
        <tr r="K19" s="4"/>
        <tr r="K20" s="11"/>
        <tr r="K19" s="9"/>
        <tr r="K56" s="8"/>
        <tr r="K56" s="7"/>
        <tr r="K20" s="5"/>
        <tr r="K57" s="10"/>
        <tr r="K54" s="6"/>
        <tr r="K55" s="4"/>
        <tr r="K55" s="5"/>
        <tr r="K20" s="8"/>
        <tr r="K55" s="9"/>
        <tr r="K55" s="11"/>
        <tr r="K19" s="5"/>
        <tr r="K55" s="7"/>
        <tr r="K56" s="10"/>
        <tr r="K18" s="4"/>
        <tr r="K21" s="10"/>
        <tr r="K18" s="9"/>
        <tr r="K19" s="11"/>
        <tr r="K55" s="8"/>
        <tr r="K20" s="6"/>
        <tr r="K18" s="7"/>
        <tr r="K54" s="9"/>
        <tr r="K20" s="10"/>
        <tr r="K54" s="11"/>
        <tr r="K54" s="4"/>
        <tr r="K17" s="9"/>
        <tr r="K17" s="7"/>
        <tr r="K19" s="8"/>
        <tr r="K53" s="6"/>
        <tr r="K19" s="6"/>
        <tr r="K54" s="5"/>
        <tr r="K18" s="11"/>
        <tr r="K17" s="4"/>
        <tr r="K55" s="10"/>
        <tr r="K54" s="8"/>
        <tr r="K54" s="7"/>
        <tr r="K18" s="5"/>
        <tr r="K53" s="5"/>
        <tr r="K16" s="9"/>
        <tr r="K53" s="7"/>
        <tr r="K19" s="10"/>
        <tr r="K17" s="11"/>
        <tr r="K53" s="11"/>
        <tr r="K54" s="10"/>
        <tr r="K53" s="4"/>
        <tr r="K18" s="8"/>
        <tr r="K53" s="8"/>
        <tr r="K52" s="6"/>
        <tr r="K18" s="6"/>
        <tr r="K16" s="4"/>
        <tr r="K16" s="7"/>
        <tr r="K17" s="5"/>
        <tr r="K53" s="9"/>
        <tr r="K17" s="6"/>
        <tr r="K18" s="10"/>
        <tr r="K52" s="7"/>
        <tr r="K16" s="5"/>
        <tr r="K52" s="4"/>
        <tr r="K52" s="9"/>
        <tr r="K15" s="4"/>
        <tr r="K53" s="10"/>
        <tr r="K52" s="5"/>
        <tr r="K16" s="11"/>
        <tr r="K15" s="9"/>
        <tr r="K15" s="7"/>
        <tr r="K52" s="11"/>
        <tr r="K52" s="8"/>
        <tr r="K51" s="6"/>
        <tr r="K17" s="8"/>
        <tr r="K50" s="6"/>
        <tr r="K51" s="11"/>
        <tr r="K17" s="10"/>
        <tr r="K51" s="5"/>
        <tr r="K16" s="8"/>
        <tr r="K14" s="4"/>
        <tr r="K16" s="6"/>
        <tr r="K15" s="11"/>
        <tr r="K51" s="9"/>
        <tr r="K14" s="7"/>
        <tr r="K51" s="4"/>
        <tr r="K14" s="9"/>
        <tr r="K15" s="5"/>
        <tr r="K52" s="10"/>
        <tr r="K51" s="8"/>
        <tr r="K51" s="7"/>
        <tr r="K50" s="7"/>
        <tr r="K50" s="9"/>
        <tr r="K13" s="4"/>
        <tr r="K49" s="6"/>
        <tr r="K14" s="11"/>
        <tr r="K15" s="8"/>
        <tr r="K50" s="5"/>
        <tr r="K13" s="7"/>
        <tr r="K16" s="10"/>
        <tr r="K51" s="10"/>
        <tr r="K13" s="9"/>
        <tr r="K50" s="11"/>
        <tr r="K50" s="4"/>
        <tr r="K14" s="5"/>
        <tr r="K15" s="6"/>
        <tr r="K50" s="8"/>
        <tr r="K12" s="4"/>
        <tr r="K49" s="5"/>
        <tr r="K14" s="6"/>
        <tr r="K49" s="8"/>
        <tr r="K12" s="7"/>
        <tr r="K13" s="5"/>
        <tr r="K50" s="10"/>
        <tr r="K15" s="10"/>
        <tr r="K49" s="9"/>
        <tr r="K48" s="6"/>
        <tr r="K49" s="4"/>
        <tr r="K49" s="11"/>
        <tr r="K13" s="11"/>
        <tr r="K12" s="9"/>
        <tr r="K49" s="7"/>
        <tr r="K14" s="8"/>
        <tr r="K11" s="4"/>
        <tr r="K48" s="7"/>
        <tr r="K48" s="11"/>
        <tr r="K47" s="6"/>
        <tr r="K12" s="11"/>
        <tr r="K49" s="10"/>
        <tr r="K48" s="4"/>
        <tr r="K11" s="7"/>
        <tr r="K12" s="5"/>
        <tr r="K48" s="5"/>
        <tr r="K13" s="6"/>
        <tr r="K14" s="10"/>
        <tr r="K11" s="9"/>
        <tr r="K48" s="8"/>
        <tr r="K13" s="8"/>
        <tr r="K48" s="9"/>
        <tr r="K46" s="6"/>
        <tr r="K47" s="8"/>
        <tr r="K12" s="8"/>
        <tr r="K48" s="10"/>
        <tr r="K47" s="5"/>
        <tr r="K11" s="11"/>
        <tr r="K9" s="9"/>
        <tr r="K13" s="10"/>
        <tr r="K10" s="7"/>
        <tr r="K10" s="4"/>
        <tr r="K10" s="9"/>
        <tr r="K47" s="7"/>
        <tr r="K12" s="6"/>
        <tr r="K11" s="5"/>
        <tr r="K47" s="4"/>
        <tr r="K47" s="11"/>
        <tr r="K47" s="9"/>
        <tr r="K46" s="9"/>
        <tr r="K10" s="11"/>
        <tr r="K12" s="10"/>
        <tr r="K11" s="6"/>
        <tr r="K46" s="4"/>
        <tr r="K47" s="10"/>
        <tr r="K11" s="8"/>
        <tr r="K45" s="6"/>
        <tr r="K46" s="11"/>
        <tr r="K46" s="7"/>
        <tr r="K9" s="7"/>
        <tr r="K46" s="5"/>
        <tr r="K9" s="4"/>
        <tr r="K46" s="8"/>
        <tr r="K10" s="5"/>
        <tr r="K45" s="4"/>
        <tr r="K9" s="11"/>
        <tr r="K8" s="7"/>
        <tr r="K45" s="11"/>
        <tr r="K45" s="8"/>
        <tr r="K45" s="7"/>
        <tr r="K45" s="9"/>
        <tr r="K46" s="10"/>
        <tr r="K9" s="5"/>
        <tr r="K11" s="10"/>
        <tr r="K8" s="4"/>
        <tr r="K45" s="5"/>
        <tr r="K8" s="9"/>
        <tr r="K44" s="6"/>
        <tr r="K7" s="4"/>
        <tr r="K10" s="6"/>
        <tr r="K10" s="8"/>
        <tr r="K9" s="6"/>
        <tr r="K8" s="5"/>
        <tr r="K44" s="9"/>
        <tr r="K10" s="10"/>
        <tr r="K43" s="6"/>
        <tr r="K7" s="7"/>
        <tr r="K44" s="4"/>
        <tr r="K9" s="8"/>
        <tr r="K7" s="9"/>
        <tr r="K44" s="8"/>
        <tr r="K8" s="11"/>
        <tr r="K45" s="10"/>
        <tr r="K44" s="5"/>
        <tr r="K44" s="11"/>
        <tr r="K44" s="7"/>
        <tr r="K43" s="7"/>
        <tr r="K43" s="8"/>
        <tr r="K42" s="6"/>
        <tr r="K8" s="6"/>
        <tr r="K9" s="10"/>
        <tr r="K6" s="9"/>
        <tr r="K44" s="10"/>
        <tr r="K6" s="7"/>
        <tr r="K7" s="5"/>
        <tr r="K43" s="5"/>
        <tr r="K7" s="11"/>
        <tr r="K7" s="6"/>
        <tr r="K42" s="5"/>
        <tr r="K42" s="11"/>
        <tr r="K8" s="8"/>
        <tr r="K6" s="4"/>
        <tr r="K43" s="9"/>
        <tr r="K43" s="4"/>
        <tr r="K43" s="11"/>
        <tr r="K6" s="11"/>
        <tr r="K5" s="4"/>
        <tr r="K42" s="8"/>
        <tr r="K8" s="10"/>
        <tr r="K42" s="4"/>
        <tr r="K5" s="9"/>
        <tr r="K42" s="7"/>
        <tr r="K43" s="10"/>
        <tr r="K41" s="6"/>
        <tr r="K5" s="7"/>
        <tr r="K42" s="9"/>
        <tr r="K7" s="8"/>
        <tr r="K6" s="5"/>
        <tr r="K5" s="5"/>
        <tr r="K6" s="6"/>
        <tr r="K38" s="10"/>
        <tr r="K4" s="4"/>
        <tr r="K41" s="10"/>
        <tr r="K41" s="9"/>
        <tr r="K42" s="10"/>
        <tr r="K41" s="7"/>
        <tr r="K2" s="7"/>
        <tr r="K2" s="11"/>
        <tr r="K3" s="9"/>
        <tr r="K2" s="5"/>
        <tr r="K2" s="9"/>
        <tr r="K2" s="8"/>
        <tr r="K41" s="4"/>
        <tr r="K38" s="6"/>
        <tr r="K4" s="6"/>
        <tr r="K3" s="6"/>
        <tr r="K40" s="6"/>
        <tr r="K40" s="11"/>
        <tr r="K40" s="9"/>
        <tr r="K39" s="7"/>
        <tr r="K2" s="6"/>
        <tr r="K40" s="5"/>
        <tr r="K6" s="10"/>
        <tr r="K41" s="11"/>
        <tr r="K6" s="8"/>
        <tr r="K7" s="10"/>
        <tr r="K40" s="7"/>
        <tr r="K39" s="8"/>
        <tr r="K2" s="10"/>
        <tr r="K38" s="11"/>
        <tr r="K41" s="8"/>
        <tr r="K3" s="8"/>
        <tr r="K38" s="9"/>
        <tr r="K4" s="10"/>
        <tr r="K39" s="6"/>
        <tr r="K40" s="4"/>
        <tr r="K41" s="5"/>
        <tr r="K5" s="10"/>
        <tr r="K39" s="4"/>
        <tr r="K3" s="10"/>
        <tr r="K39" s="9"/>
        <tr r="K4" s="7"/>
        <tr r="K5" s="11"/>
        <tr r="K3" s="11"/>
        <tr r="K39" s="10"/>
        <tr r="K38" s="7"/>
        <tr r="K4" s="9"/>
        <tr r="K5" s="8"/>
        <tr r="K39" s="5"/>
        <tr r="K3" s="4"/>
        <tr r="K5" s="6"/>
        <tr r="K38" s="5"/>
        <tr r="K3" s="5"/>
        <tr r="K4" s="8"/>
        <tr r="K2" s="4"/>
        <tr r="K38" s="4"/>
        <tr r="K40" s="10"/>
        <tr r="K3" s="7"/>
        <tr r="K4" s="11"/>
        <tr r="K4" s="5"/>
        <tr r="K40" s="8"/>
        <tr r="K39" s="11"/>
        <tr r="K38" s="8"/>
      </tp>
    </main>
    <main first="rtdsrv.1aa3a8d4d84048bb976c05eb55ba5a5f">
      <tp t="s">
        <v/>
        <stp/>
        <stp>Market</stp>
        <stp>FOP</stp>
        <stp>マーケットスピード II にログインして「接続中」の状態に変更してから利用してください。</stp>
        <stp>ロー</stp>
        <tr r="P37" s="7"/>
        <tr r="P37" s="4"/>
        <tr r="P36" s="9"/>
        <tr r="P37" s="9"/>
        <tr r="P36" s="4"/>
        <tr r="P36" s="7"/>
        <tr r="P35" s="9"/>
        <tr r="P37" s="5"/>
        <tr r="P37" s="11"/>
        <tr r="P35" s="7"/>
        <tr r="P36" s="11"/>
        <tr r="P35" s="4"/>
        <tr r="P36" s="5"/>
        <tr r="P34" s="7"/>
        <tr r="P37" s="8"/>
        <tr r="P37" s="6"/>
        <tr r="P35" s="5"/>
        <tr r="P33" s="7"/>
        <tr r="P34" s="9"/>
        <tr r="P36" s="6"/>
        <tr r="P34" s="4"/>
        <tr r="P35" s="11"/>
        <tr r="P36" s="8"/>
        <tr r="P33" s="4"/>
        <tr r="P34" s="5"/>
        <tr r="P34" s="11"/>
        <tr r="P33" s="9"/>
        <tr r="P37" s="10"/>
        <tr r="P35" s="8"/>
        <tr r="P35" s="6"/>
        <tr r="P36" s="10"/>
        <tr r="P33" s="11"/>
        <tr r="P32" s="9"/>
        <tr r="P32" s="7"/>
        <tr r="P35" s="10"/>
        <tr r="P32" s="4"/>
        <tr r="P34" s="6"/>
        <tr r="P34" s="8"/>
        <tr r="P68" s="6"/>
        <tr r="P33" s="5"/>
        <tr r="P32" s="5"/>
        <tr r="P32" s="11"/>
        <tr r="P31" s="4"/>
        <tr r="P31" s="9"/>
        <tr r="P67" s="6"/>
        <tr r="P31" s="11"/>
        <tr r="P31" s="7"/>
        <tr r="P67" s="11"/>
        <tr r="P34" s="10"/>
        <tr r="P33" s="6"/>
        <tr r="P33" s="8"/>
        <tr r="P67" s="8"/>
        <tr r="P67" s="4"/>
        <tr r="P68" s="11"/>
        <tr r="P31" s="5"/>
        <tr r="P30" s="7"/>
        <tr r="P32" s="6"/>
        <tr r="P33" s="10"/>
        <tr r="P67" s="7"/>
        <tr r="P68" s="4"/>
        <tr r="P68" s="8"/>
        <tr r="P68" s="7"/>
        <tr r="P68" s="5"/>
        <tr r="P68" s="9"/>
        <tr r="P67" s="9"/>
        <tr r="P67" s="5"/>
        <tr r="P66" s="5"/>
        <tr r="P66" s="6"/>
        <tr r="P32" s="8"/>
        <tr r="P30" s="4"/>
        <tr r="P30" s="9"/>
        <tr r="P29" s="9"/>
        <tr r="P68" s="10"/>
        <tr r="P66" s="9"/>
        <tr r="P66" s="8"/>
        <tr r="P29" s="4"/>
        <tr r="P66" s="11"/>
        <tr r="P65" s="6"/>
        <tr r="P30" s="11"/>
        <tr r="P29" s="7"/>
        <tr r="P67" s="10"/>
        <tr r="P31" s="6"/>
        <tr r="P30" s="5"/>
        <tr r="P66" s="7"/>
        <tr r="P31" s="8"/>
        <tr r="P32" s="10"/>
        <tr r="P66" s="4"/>
        <tr r="P29" s="11"/>
        <tr r="P30" s="8"/>
        <tr r="P66" s="10"/>
        <tr r="P65" s="9"/>
        <tr r="P65" s="11"/>
        <tr r="P31" s="10"/>
        <tr r="P29" s="5"/>
        <tr r="P65" s="5"/>
        <tr r="P28" s="7"/>
        <tr r="P30" s="6"/>
        <tr r="P65" s="4"/>
        <tr r="P65" s="7"/>
        <tr r="P28" s="9"/>
        <tr r="P64" s="6"/>
        <tr r="P65" s="8"/>
        <tr r="P28" s="4"/>
        <tr r="P27" s="4"/>
        <tr r="P65" s="10"/>
        <tr r="P64" s="4"/>
        <tr r="P28" s="11"/>
        <tr r="P63" s="6"/>
        <tr r="P64" s="11"/>
        <tr r="P29" s="6"/>
        <tr r="P29" s="8"/>
        <tr r="P64" s="5"/>
        <tr r="P64" s="7"/>
        <tr r="P30" s="10"/>
        <tr r="P64" s="9"/>
        <tr r="P64" s="8"/>
        <tr r="P27" s="7"/>
        <tr r="P28" s="6"/>
        <tr r="P27" s="9"/>
        <tr r="P63" s="4"/>
        <tr r="P28" s="5"/>
        <tr r="P64" s="10"/>
        <tr r="P26" s="9"/>
        <tr r="P26" s="7"/>
        <tr r="P63" s="8"/>
        <tr r="P27" s="5"/>
        <tr r="P63" s="7"/>
        <tr r="P63" s="11"/>
        <tr r="P63" s="5"/>
        <tr r="P62" s="6"/>
        <tr r="P26" s="4"/>
        <tr r="P27" s="8"/>
        <tr r="P63" s="9"/>
        <tr r="P28" s="8"/>
        <tr r="P29" s="10"/>
        <tr r="P27" s="11"/>
        <tr r="P62" s="8"/>
        <tr r="P62" s="4"/>
        <tr r="P62" s="9"/>
        <tr r="P28" s="10"/>
        <tr r="P62" s="7"/>
        <tr r="P61" s="6"/>
        <tr r="P26" s="5"/>
        <tr r="P62" s="5"/>
        <tr r="P25" s="4"/>
        <tr r="P62" s="11"/>
        <tr r="P25" s="7"/>
        <tr r="P63" s="10"/>
        <tr r="P26" s="11"/>
        <tr r="P25" s="9"/>
        <tr r="P27" s="6"/>
        <tr r="P61" s="9"/>
        <tr r="P26" s="8"/>
        <tr r="P24" s="4"/>
        <tr r="P24" s="7"/>
        <tr r="P25" s="11"/>
        <tr r="P26" s="6"/>
        <tr r="P61" s="8"/>
        <tr r="P62" s="10"/>
        <tr r="P61" s="7"/>
        <tr r="P61" s="5"/>
        <tr r="P61" s="4"/>
        <tr r="P27" s="10"/>
        <tr r="P24" s="9"/>
        <tr r="P25" s="5"/>
        <tr r="P61" s="11"/>
        <tr r="P60" s="6"/>
        <tr r="P23" s="9"/>
        <tr r="P59" s="6"/>
        <tr r="P60" s="8"/>
        <tr r="P26" s="10"/>
        <tr r="P61" s="10"/>
        <tr r="P24" s="11"/>
        <tr r="P24" s="5"/>
        <tr r="P60" s="11"/>
        <tr r="P25" s="6"/>
        <tr r="P60" s="7"/>
        <tr r="P60" s="9"/>
        <tr r="P23" s="7"/>
        <tr r="P23" s="4"/>
        <tr r="P60" s="5"/>
        <tr r="P25" s="8"/>
        <tr r="P60" s="4"/>
        <tr r="P22" s="4"/>
        <tr r="P24" s="6"/>
        <tr r="P59" s="11"/>
        <tr r="P25" s="10"/>
        <tr r="P59" s="4"/>
        <tr r="P59" s="5"/>
        <tr r="P60" s="10"/>
        <tr r="P24" s="8"/>
        <tr r="P23" s="5"/>
        <tr r="P23" s="11"/>
        <tr r="P59" s="7"/>
        <tr r="P22" s="7"/>
        <tr r="P59" s="8"/>
        <tr r="P59" s="9"/>
        <tr r="P58" s="6"/>
        <tr r="P22" s="9"/>
        <tr r="P24" s="10"/>
        <tr r="P58" s="8"/>
        <tr r="P23" s="6"/>
        <tr r="P58" s="5"/>
        <tr r="P21" s="4"/>
        <tr r="P58" s="4"/>
        <tr r="P58" s="9"/>
        <tr r="P22" s="5"/>
        <tr r="P57" s="5"/>
        <tr r="P59" s="10"/>
        <tr r="P58" s="11"/>
        <tr r="P58" s="7"/>
        <tr r="P21" s="7"/>
        <tr r="P57" s="6"/>
        <tr r="P57" s="11"/>
        <tr r="P22" s="11"/>
        <tr r="P21" s="9"/>
        <tr r="P23" s="8"/>
        <tr r="P22" s="8"/>
        <tr r="P56" s="6"/>
        <tr r="P21" s="5"/>
        <tr r="P58" s="10"/>
        <tr r="P20" s="4"/>
        <tr r="P23" s="10"/>
        <tr r="P21" s="11"/>
        <tr r="P20" s="7"/>
        <tr r="P57" s="4"/>
        <tr r="P57" s="8"/>
        <tr r="P57" s="9"/>
        <tr r="P56" s="9"/>
        <tr r="P22" s="6"/>
        <tr r="P20" s="9"/>
        <tr r="P57" s="7"/>
        <tr r="P19" s="9"/>
        <tr r="P21" s="6"/>
        <tr r="P56" s="5"/>
        <tr r="P56" s="4"/>
        <tr r="P20" s="5"/>
        <tr r="P22" s="10"/>
        <tr r="P56" s="7"/>
        <tr r="P56" s="8"/>
        <tr r="P56" s="11"/>
        <tr r="P19" s="4"/>
        <tr r="P21" s="8"/>
        <tr r="P55" s="6"/>
        <tr r="P57" s="10"/>
        <tr r="P19" s="7"/>
        <tr r="P20" s="11"/>
        <tr r="P55" s="5"/>
        <tr r="P20" s="8"/>
        <tr r="P55" s="11"/>
        <tr r="P20" s="6"/>
        <tr r="P54" s="6"/>
        <tr r="P18" s="4"/>
        <tr r="P55" s="9"/>
        <tr r="P55" s="4"/>
        <tr r="P55" s="8"/>
        <tr r="P18" s="9"/>
        <tr r="P55" s="7"/>
        <tr r="P19" s="11"/>
        <tr r="P21" s="10"/>
        <tr r="P18" s="7"/>
        <tr r="P19" s="5"/>
        <tr r="P56" s="10"/>
        <tr r="P54" s="9"/>
        <tr r="P54" s="4"/>
        <tr r="P17" s="9"/>
        <tr r="P17" s="7"/>
        <tr r="P54" s="5"/>
        <tr r="P18" s="11"/>
        <tr r="P53" s="6"/>
        <tr r="P18" s="5"/>
        <tr r="P20" s="10"/>
        <tr r="P17" s="4"/>
        <tr r="P54" s="11"/>
        <tr r="P19" s="6"/>
        <tr r="P54" s="8"/>
        <tr r="P55" s="10"/>
        <tr r="P19" s="8"/>
        <tr r="P54" s="7"/>
        <tr r="P53" s="7"/>
        <tr r="P19" s="10"/>
        <tr r="P16" s="9"/>
        <tr r="P17" s="11"/>
        <tr r="P53" s="11"/>
        <tr r="P54" s="10"/>
        <tr r="P53" s="5"/>
        <tr r="P53" s="4"/>
        <tr r="P18" s="8"/>
        <tr r="P52" s="6"/>
        <tr r="P16" s="4"/>
        <tr r="P16" s="7"/>
        <tr r="P53" s="8"/>
        <tr r="P53" s="9"/>
        <tr r="P18" s="6"/>
        <tr r="P17" s="5"/>
        <tr r="P53" s="10"/>
        <tr r="P17" s="6"/>
        <tr r="P52" s="5"/>
        <tr r="P18" s="10"/>
        <tr r="P52" s="7"/>
        <tr r="P16" s="5"/>
        <tr r="P15" s="9"/>
        <tr r="P15" s="4"/>
        <tr r="P16" s="11"/>
        <tr r="P52" s="11"/>
        <tr r="P15" s="7"/>
        <tr r="P52" s="4"/>
        <tr r="P17" s="8"/>
        <tr r="P52" s="9"/>
        <tr r="P51" s="6"/>
        <tr r="P52" s="8"/>
        <tr r="P50" s="6"/>
        <tr r="P51" s="5"/>
        <tr r="P14" s="9"/>
        <tr r="P14" s="4"/>
        <tr r="P14" s="7"/>
        <tr r="P51" s="7"/>
        <tr r="P51" s="11"/>
        <tr r="P15" s="11"/>
        <tr r="P17" s="10"/>
        <tr r="P16" s="8"/>
        <tr r="P15" s="5"/>
        <tr r="P51" s="9"/>
        <tr r="P52" s="10"/>
        <tr r="P50" s="4"/>
        <tr r="P16" s="6"/>
        <tr r="P51" s="4"/>
        <tr r="P51" s="8"/>
        <tr r="P16" s="10"/>
        <tr r="P50" s="7"/>
        <tr r="P50" s="9"/>
        <tr r="P51" s="10"/>
        <tr r="P13" s="4"/>
        <tr r="P13" s="7"/>
        <tr r="P14" s="11"/>
        <tr r="P13" s="9"/>
        <tr r="P14" s="5"/>
        <tr r="P49" s="6"/>
        <tr r="P48" s="6"/>
        <tr r="P50" s="8"/>
        <tr r="P15" s="6"/>
        <tr r="P15" s="8"/>
        <tr r="P50" s="11"/>
        <tr r="P50" s="5"/>
        <tr r="P12" s="4"/>
        <tr r="P49" s="4"/>
        <tr r="P49" s="5"/>
        <tr r="P15" s="10"/>
        <tr r="P49" s="9"/>
        <tr r="P12" s="7"/>
        <tr r="P49" s="8"/>
        <tr r="P14" s="8"/>
        <tr r="P13" s="5"/>
        <tr r="P14" s="6"/>
        <tr r="P49" s="7"/>
        <tr r="P48" s="11"/>
        <tr r="P50" s="10"/>
        <tr r="P12" s="9"/>
        <tr r="P13" s="11"/>
        <tr r="P49" s="11"/>
        <tr r="P11" s="4"/>
        <tr r="P48" s="7"/>
        <tr r="P11" s="7"/>
        <tr r="P48" s="5"/>
        <tr r="P12" s="11"/>
        <tr r="P14" s="10"/>
        <tr r="P47" s="6"/>
        <tr r="P13" s="8"/>
        <tr r="P48" s="8"/>
        <tr r="P49" s="10"/>
        <tr r="P48" s="4"/>
        <tr r="P11" s="9"/>
        <tr r="P13" s="6"/>
        <tr r="P12" s="5"/>
        <tr r="P48" s="9"/>
        <tr r="P47" s="9"/>
        <tr r="P11" s="11"/>
        <tr r="P47" s="8"/>
        <tr r="P47" s="7"/>
        <tr r="P47" s="5"/>
        <tr r="P12" s="6"/>
        <tr r="P47" s="4"/>
        <tr r="P48" s="10"/>
        <tr r="P10" s="9"/>
        <tr r="P46" s="6"/>
        <tr r="P13" s="10"/>
        <tr r="P10" s="7"/>
        <tr r="P11" s="5"/>
        <tr r="P47" s="11"/>
        <tr r="P12" s="8"/>
        <tr r="P45" s="6"/>
        <tr r="P10" s="4"/>
        <tr r="P46" s="8"/>
        <tr r="P46" s="9"/>
        <tr r="P10" s="11"/>
        <tr r="P12" s="10"/>
        <tr r="P11" s="6"/>
        <tr r="P46" s="4"/>
        <tr r="P47" s="10"/>
        <tr r="P46" s="7"/>
        <tr r="P9" s="4"/>
        <tr r="P45" s="5"/>
        <tr r="P9" s="9"/>
        <tr r="P10" s="5"/>
        <tr r="P46" s="5"/>
        <tr r="P11" s="8"/>
        <tr r="P9" s="7"/>
        <tr r="P46" s="11"/>
        <tr r="P45" s="4"/>
        <tr r="P9" s="11"/>
        <tr r="P8" s="7"/>
        <tr r="P45" s="11"/>
        <tr r="P45" s="8"/>
        <tr r="P45" s="9"/>
        <tr r="P46" s="10"/>
        <tr r="P9" s="5"/>
        <tr r="P45" s="7"/>
        <tr r="P11" s="10"/>
        <tr r="P10" s="6"/>
        <tr r="P44" s="8"/>
        <tr r="P10" s="8"/>
        <tr r="P8" s="4"/>
        <tr r="P44" s="6"/>
        <tr r="P8" s="9"/>
        <tr r="P44" s="5"/>
        <tr r="P8" s="5"/>
        <tr r="P44" s="9"/>
        <tr r="P10" s="10"/>
        <tr r="P7" s="4"/>
        <tr r="P43" s="6"/>
        <tr r="P7" s="7"/>
        <tr r="P8" s="11"/>
        <tr r="P45" s="10"/>
        <tr r="P7" s="9"/>
        <tr r="P9" s="8"/>
        <tr r="P44" s="4"/>
        <tr r="P44" s="11"/>
        <tr r="P9" s="6"/>
        <tr r="P44" s="7"/>
        <tr r="P43" s="8"/>
        <tr r="P42" s="6"/>
        <tr r="P8" s="6"/>
        <tr r="P9" s="10"/>
        <tr r="P6" s="9"/>
        <tr r="P43" s="9"/>
        <tr r="P7" s="5"/>
        <tr r="P43" s="4"/>
        <tr r="P7" s="11"/>
        <tr r="P44" s="10"/>
        <tr r="P6" s="7"/>
        <tr r="P43" s="7"/>
        <tr r="P43" s="5"/>
        <tr r="P8" s="8"/>
        <tr r="P6" s="4"/>
        <tr r="P43" s="11"/>
        <tr r="P5" s="4"/>
        <tr r="P8" s="10"/>
        <tr r="P7" s="6"/>
        <tr r="P5" s="9"/>
        <tr r="P43" s="10"/>
        <tr r="P41" s="6"/>
        <tr r="P42" s="11"/>
        <tr r="P42" s="4"/>
        <tr r="P42" s="8"/>
        <tr r="P6" s="11"/>
        <tr r="P42" s="7"/>
        <tr r="P42" s="9"/>
        <tr r="P4" s="8"/>
        <tr r="P42" s="5"/>
        <tr r="P5" s="7"/>
        <tr r="P7" s="8"/>
        <tr r="P3" s="5"/>
        <tr r="P6" s="5"/>
        <tr r="P2" s="8"/>
        <tr r="P6" s="6"/>
        <tr r="P38" s="10"/>
        <tr r="P40" s="4"/>
        <tr r="P4" s="4"/>
        <tr r="P41" s="10"/>
        <tr r="P41" s="9"/>
        <tr r="P2" s="7"/>
        <tr r="P2" s="11"/>
        <tr r="P3" s="9"/>
        <tr r="P3" s="8"/>
        <tr r="P2" s="9"/>
        <tr r="P41" s="4"/>
        <tr r="P5" s="10"/>
        <tr r="P38" s="6"/>
        <tr r="P39" s="4"/>
        <tr r="P4" s="7"/>
        <tr r="P4" s="6"/>
        <tr r="P3" s="6"/>
        <tr r="P40" s="6"/>
        <tr r="P5" s="8"/>
        <tr r="P39" s="7"/>
        <tr r="P2" s="6"/>
        <tr r="P41" s="5"/>
        <tr r="P39" s="5"/>
        <tr r="P39" s="10"/>
        <tr r="P40" s="7"/>
        <tr r="P3" s="4"/>
        <tr r="P38" s="7"/>
        <tr r="P38" s="9"/>
        <tr r="P4" s="9"/>
        <tr r="P2" s="10"/>
        <tr r="P42" s="10"/>
        <tr r="P40" s="11"/>
        <tr r="P38" s="5"/>
        <tr r="P41" s="7"/>
        <tr r="P3" s="11"/>
        <tr r="P2" s="5"/>
        <tr r="P7" s="10"/>
        <tr r="P40" s="9"/>
        <tr r="P4" s="5"/>
        <tr r="P41" s="8"/>
        <tr r="P39" s="6"/>
        <tr r="P6" s="8"/>
        <tr r="P2" s="4"/>
        <tr r="P3" s="7"/>
        <tr r="P40" s="5"/>
        <tr r="P5" s="6"/>
        <tr r="P39" s="9"/>
        <tr r="P4" s="10"/>
        <tr r="P41" s="11"/>
        <tr r="P38" s="4"/>
        <tr r="P3" s="10"/>
        <tr r="P4" s="11"/>
        <tr r="P38" s="11"/>
        <tr r="P6" s="10"/>
        <tr r="P40" s="8"/>
        <tr r="P5" s="5"/>
        <tr r="P39" s="8"/>
        <tr r="P5" s="11"/>
        <tr r="P40" s="10"/>
        <tr r="P38" s="8"/>
        <tr r="P39" s="11"/>
      </tp>
      <tp t="s">
        <v/>
        <stp/>
        <stp>Market</stp>
        <stp>FOP</stp>
        <stp>マーケットスピード II にログインして「接続中」の状態に変更してから利用してください。</stp>
        <stp>ベガ</stp>
        <tr r="N37" s="7"/>
        <tr r="N37" s="4"/>
        <tr r="N37" s="9"/>
        <tr r="N36" s="9"/>
        <tr r="N36" s="7"/>
        <tr r="N36" s="4"/>
        <tr r="N35" s="9"/>
        <tr r="N37" s="5"/>
        <tr r="N35" s="7"/>
        <tr r="N37" s="11"/>
        <tr r="N36" s="11"/>
        <tr r="N35" s="4"/>
        <tr r="N36" s="5"/>
        <tr r="N34" s="7"/>
        <tr r="N34" s="4"/>
        <tr r="N37" s="6"/>
        <tr r="N37" s="8"/>
        <tr r="N36" s="8"/>
        <tr r="N35" s="11"/>
        <tr r="N35" s="5"/>
        <tr r="N34" s="9"/>
        <tr r="N36" s="6"/>
        <tr r="N33" s="9"/>
        <tr r="N35" s="6"/>
        <tr r="N33" s="7"/>
        <tr r="N36" s="10"/>
        <tr r="N35" s="8"/>
        <tr r="N34" s="5"/>
        <tr r="N33" s="4"/>
        <tr r="N34" s="11"/>
        <tr r="N37" s="10"/>
        <tr r="N32" s="7"/>
        <tr r="N35" s="10"/>
        <tr r="N34" s="6"/>
        <tr r="N33" s="5"/>
        <tr r="N32" s="9"/>
        <tr r="N33" s="11"/>
        <tr r="N32" s="4"/>
        <tr r="N68" s="6"/>
        <tr r="N34" s="8"/>
        <tr r="N32" s="11"/>
        <tr r="N31" s="4"/>
        <tr r="N31" s="9"/>
        <tr r="N32" s="5"/>
        <tr r="N33" s="8"/>
        <tr r="N31" s="7"/>
        <tr r="N67" s="6"/>
        <tr r="N34" s="10"/>
        <tr r="N33" s="6"/>
        <tr r="N33" s="10"/>
        <tr r="N67" s="4"/>
        <tr r="N67" s="8"/>
        <tr r="N31" s="11"/>
        <tr r="N68" s="11"/>
        <tr r="N31" s="5"/>
        <tr r="N30" s="7"/>
        <tr r="N67" s="9"/>
        <tr r="N32" s="6"/>
        <tr r="N67" s="7"/>
        <tr r="N32" s="8"/>
        <tr r="N68" s="8"/>
        <tr r="N68" s="4"/>
        <tr r="N68" s="5"/>
        <tr r="N68" s="7"/>
        <tr r="N68" s="9"/>
        <tr r="N67" s="5"/>
        <tr r="N66" s="4"/>
        <tr r="N30" s="9"/>
        <tr r="N30" s="4"/>
        <tr r="N66" s="6"/>
        <tr r="N67" s="11"/>
        <tr r="N68" s="10"/>
        <tr r="N66" s="11"/>
        <tr r="N29" s="7"/>
        <tr r="N66" s="9"/>
        <tr r="N66" s="8"/>
        <tr r="N31" s="6"/>
        <tr r="N32" s="10"/>
        <tr r="N30" s="11"/>
        <tr r="N29" s="9"/>
        <tr r="N64" s="6"/>
        <tr r="N29" s="4"/>
        <tr r="N65" s="6"/>
        <tr r="N31" s="8"/>
        <tr r="N66" s="7"/>
        <tr r="N30" s="5"/>
        <tr r="N66" s="5"/>
        <tr r="N67" s="10"/>
        <tr r="N29" s="11"/>
        <tr r="N66" s="10"/>
        <tr r="N28" s="7"/>
        <tr r="N65" s="9"/>
        <tr r="N65" s="11"/>
        <tr r="N65" s="5"/>
        <tr r="N65" s="7"/>
        <tr r="N65" s="4"/>
        <tr r="N30" s="10"/>
        <tr r="N30" s="8"/>
        <tr r="N30" s="6"/>
        <tr r="N31" s="10"/>
        <tr r="N65" s="8"/>
        <tr r="N28" s="9"/>
        <tr r="N29" s="5"/>
        <tr r="N28" s="4"/>
        <tr r="N65" s="10"/>
        <tr r="N64" s="4"/>
        <tr r="N27" s="7"/>
        <tr r="N63" s="6"/>
        <tr r="N64" s="11"/>
        <tr r="N29" s="6"/>
        <tr r="N29" s="8"/>
        <tr r="N64" s="5"/>
        <tr r="N64" s="7"/>
        <tr r="N27" s="4"/>
        <tr r="N28" s="5"/>
        <tr r="N27" s="9"/>
        <tr r="N28" s="8"/>
        <tr r="N28" s="11"/>
        <tr r="N63" s="8"/>
        <tr r="N64" s="8"/>
        <tr r="N63" s="5"/>
        <tr r="N64" s="9"/>
        <tr r="N26" s="9"/>
        <tr r="N63" s="4"/>
        <tr r="N26" s="7"/>
        <tr r="N28" s="6"/>
        <tr r="N26" s="4"/>
        <tr r="N27" s="5"/>
        <tr r="N63" s="7"/>
        <tr r="N63" s="9"/>
        <tr r="N27" s="11"/>
        <tr r="N25" s="7"/>
        <tr r="N62" s="6"/>
        <tr r="N64" s="10"/>
        <tr r="N63" s="11"/>
        <tr r="N25" s="4"/>
        <tr r="N29" s="10"/>
        <tr r="N27" s="8"/>
        <tr r="N62" s="4"/>
        <tr r="N62" s="11"/>
        <tr r="N62" s="8"/>
        <tr r="N62" s="9"/>
        <tr r="N26" s="5"/>
        <tr r="N62" s="7"/>
        <tr r="N28" s="10"/>
        <tr r="N61" s="6"/>
        <tr r="N63" s="10"/>
        <tr r="N26" s="11"/>
        <tr r="N62" s="5"/>
        <tr r="N27" s="6"/>
        <tr r="N25" s="9"/>
        <tr r="N61" s="9"/>
        <tr r="N26" s="8"/>
        <tr r="N26" s="6"/>
        <tr r="N24" s="4"/>
        <tr r="N24" s="7"/>
        <tr r="N61" s="7"/>
        <tr r="N27" s="10"/>
        <tr r="N61" s="4"/>
        <tr r="N25" s="8"/>
        <tr r="N61" s="8"/>
        <tr r="N60" s="9"/>
        <tr r="N62" s="10"/>
        <tr r="N25" s="11"/>
        <tr r="N25" s="5"/>
        <tr r="N24" s="9"/>
        <tr r="N60" s="6"/>
        <tr r="N61" s="11"/>
        <tr r="N61" s="5"/>
        <tr r="N59" s="6"/>
        <tr r="N60" s="8"/>
        <tr r="N26" s="10"/>
        <tr r="N61" s="10"/>
        <tr r="N24" s="11"/>
        <tr r="N24" s="5"/>
        <tr r="N60" s="4"/>
        <tr r="N25" s="10"/>
        <tr r="N23" s="9"/>
        <tr r="N60" s="5"/>
        <tr r="N23" s="7"/>
        <tr r="N60" s="7"/>
        <tr r="N60" s="11"/>
        <tr r="N25" s="6"/>
        <tr r="N23" s="4"/>
        <tr r="N24" s="6"/>
        <tr r="N59" s="11"/>
        <tr r="N59" s="4"/>
        <tr r="N59" s="5"/>
        <tr r="N59" s="7"/>
        <tr r="N59" s="8"/>
        <tr r="N24" s="8"/>
        <tr r="N60" s="10"/>
        <tr r="N59" s="9"/>
        <tr r="N22" s="7"/>
        <tr r="N23" s="11"/>
        <tr r="N23" s="5"/>
        <tr r="N22" s="9"/>
        <tr r="N22" s="4"/>
        <tr r="N58" s="6"/>
        <tr r="N24" s="10"/>
        <tr r="N23" s="6"/>
        <tr r="N58" s="5"/>
        <tr r="N58" s="7"/>
        <tr r="N58" s="4"/>
        <tr r="N58" s="11"/>
        <tr r="N58" s="8"/>
        <tr r="N59" s="10"/>
        <tr r="N58" s="9"/>
        <tr r="N21" s="4"/>
        <tr r="N21" s="9"/>
        <tr r="N22" s="5"/>
        <tr r="N21" s="7"/>
        <tr r="N22" s="11"/>
        <tr r="N57" s="6"/>
        <tr r="N58" s="10"/>
        <tr r="N23" s="8"/>
        <tr r="N57" s="9"/>
        <tr r="N22" s="8"/>
        <tr r="N57" s="4"/>
        <tr r="N56" s="6"/>
        <tr r="N20" s="7"/>
        <tr r="N23" s="10"/>
        <tr r="N21" s="5"/>
        <tr r="N21" s="11"/>
        <tr r="N57" s="11"/>
        <tr r="N20" s="4"/>
        <tr r="N57" s="8"/>
        <tr r="N57" s="5"/>
        <tr r="N20" s="9"/>
        <tr r="N22" s="6"/>
        <tr r="N57" s="7"/>
        <tr r="N21" s="6"/>
        <tr r="N56" s="4"/>
        <tr r="N20" s="5"/>
        <tr r="N22" s="10"/>
        <tr r="N56" s="7"/>
        <tr r="N56" s="8"/>
        <tr r="N19" s="4"/>
        <tr r="N20" s="11"/>
        <tr r="N56" s="5"/>
        <tr r="N56" s="11"/>
        <tr r="N57" s="10"/>
        <tr r="N56" s="9"/>
        <tr r="N55" s="6"/>
        <tr r="N21" s="8"/>
        <tr r="N19" s="9"/>
        <tr r="N19" s="7"/>
        <tr r="N54" s="6"/>
        <tr r="N55" s="4"/>
        <tr r="N20" s="8"/>
        <tr r="N19" s="11"/>
        <tr r="N19" s="5"/>
        <tr r="N55" s="11"/>
        <tr r="N18" s="9"/>
        <tr r="N18" s="7"/>
        <tr r="N55" s="8"/>
        <tr r="N55" s="5"/>
        <tr r="N18" s="4"/>
        <tr r="N56" s="10"/>
        <tr r="N55" s="7"/>
        <tr r="N20" s="6"/>
        <tr r="N55" s="9"/>
        <tr r="N21" s="10"/>
        <tr r="N54" s="9"/>
        <tr r="N20" s="10"/>
        <tr r="N54" s="11"/>
        <tr r="N17" s="9"/>
        <tr r="N17" s="7"/>
        <tr r="N54" s="5"/>
        <tr r="N18" s="11"/>
        <tr r="N19" s="8"/>
        <tr r="N54" s="8"/>
        <tr r="N17" s="4"/>
        <tr r="N54" s="4"/>
        <tr r="N54" s="7"/>
        <tr r="N19" s="6"/>
        <tr r="N53" s="6"/>
        <tr r="N55" s="10"/>
        <tr r="N18" s="5"/>
        <tr r="N18" s="6"/>
        <tr r="N53" s="7"/>
        <tr r="N19" s="10"/>
        <tr r="N16" s="9"/>
        <tr r="N17" s="11"/>
        <tr r="N53" s="11"/>
        <tr r="N54" s="10"/>
        <tr r="N53" s="5"/>
        <tr r="N53" s="8"/>
        <tr r="N52" s="6"/>
        <tr r="N16" s="4"/>
        <tr r="N16" s="7"/>
        <tr r="N53" s="9"/>
        <tr r="N15" s="9"/>
        <tr r="N53" s="4"/>
        <tr r="N18" s="8"/>
        <tr r="N17" s="5"/>
        <tr r="N53" s="10"/>
        <tr r="N52" s="5"/>
        <tr r="N18" s="10"/>
        <tr r="N52" s="7"/>
        <tr r="N16" s="5"/>
        <tr r="N51" s="6"/>
        <tr r="N15" s="4"/>
        <tr r="N16" s="11"/>
        <tr r="N51" s="4"/>
        <tr r="N52" s="11"/>
        <tr r="N52" s="9"/>
        <tr r="N15" s="7"/>
        <tr r="N17" s="6"/>
        <tr r="N14" s="7"/>
        <tr r="N52" s="4"/>
        <tr r="N52" s="8"/>
        <tr r="N17" s="8"/>
        <tr r="N50" s="6"/>
        <tr r="N51" s="11"/>
        <tr r="N17" s="10"/>
        <tr r="N51" s="9"/>
        <tr r="N14" s="9"/>
        <tr r="N14" s="4"/>
        <tr r="N16" s="6"/>
        <tr r="N52" s="10"/>
        <tr r="N51" s="7"/>
        <tr r="N15" s="5"/>
        <tr r="N15" s="11"/>
        <tr r="N51" s="8"/>
        <tr r="N16" s="8"/>
        <tr r="N51" s="5"/>
        <tr r="N15" s="6"/>
        <tr r="N50" s="7"/>
        <tr r="N16" s="10"/>
        <tr r="N50" s="9"/>
        <tr r="N51" s="10"/>
        <tr r="N13" s="4"/>
        <tr r="N13" s="7"/>
        <tr r="N49" s="6"/>
        <tr r="N50" s="11"/>
        <tr r="N50" s="4"/>
        <tr r="N13" s="9"/>
        <tr r="N14" s="5"/>
        <tr r="N50" s="8"/>
        <tr r="N14" s="11"/>
        <tr r="N50" s="5"/>
        <tr r="N15" s="8"/>
        <tr r="N49" s="5"/>
        <tr r="N15" s="10"/>
        <tr r="N49" s="9"/>
        <tr r="N49" s="8"/>
        <tr r="N14" s="6"/>
        <tr r="N48" s="6"/>
        <tr r="N49" s="4"/>
        <tr r="N12" s="4"/>
        <tr r="N49" s="11"/>
        <tr r="N49" s="7"/>
        <tr r="N13" s="5"/>
        <tr r="N12" s="7"/>
        <tr r="N50" s="10"/>
        <tr r="N13" s="11"/>
        <tr r="N12" s="9"/>
        <tr r="N14" s="8"/>
        <tr r="N48" s="4"/>
        <tr r="N11" s="4"/>
        <tr r="N48" s="7"/>
        <tr r="N48" s="11"/>
        <tr r="N11" s="7"/>
        <tr r="N48" s="5"/>
        <tr r="N13" s="8"/>
        <tr r="N47" s="11"/>
        <tr r="N47" s="6"/>
        <tr r="N12" s="11"/>
        <tr r="N48" s="8"/>
        <tr r="N14" s="10"/>
        <tr r="N49" s="10"/>
        <tr r="N11" s="9"/>
        <tr r="N48" s="9"/>
        <tr r="N13" s="6"/>
        <tr r="N12" s="5"/>
        <tr r="N11" s="11"/>
        <tr r="N13" s="10"/>
        <tr r="N47" s="5"/>
        <tr r="N10" s="7"/>
        <tr r="N11" s="5"/>
        <tr r="N46" s="6"/>
        <tr r="N10" s="4"/>
        <tr r="N47" s="8"/>
        <tr r="N47" s="7"/>
        <tr r="N48" s="10"/>
        <tr r="N47" s="10"/>
        <tr r="N47" s="4"/>
        <tr r="N12" s="6"/>
        <tr r="N12" s="8"/>
        <tr r="N10" s="9"/>
        <tr r="N9" s="9"/>
        <tr r="N47" s="9"/>
        <tr r="N46" s="9"/>
        <tr r="N12" s="10"/>
        <tr r="N11" s="6"/>
        <tr r="N46" s="4"/>
        <tr r="N46" s="7"/>
        <tr r="N11" s="8"/>
        <tr r="N9" s="4"/>
        <tr r="N10" s="5"/>
        <tr r="N46" s="5"/>
        <tr r="N10" s="11"/>
        <tr r="N8" s="9"/>
        <tr r="N45" s="6"/>
        <tr r="N9" s="7"/>
        <tr r="N46" s="8"/>
        <tr r="N46" s="11"/>
        <tr r="N45" s="4"/>
        <tr r="N9" s="11"/>
        <tr r="N8" s="7"/>
        <tr r="N45" s="11"/>
        <tr r="N45" s="7"/>
        <tr r="N45" s="9"/>
        <tr r="N45" s="8"/>
        <tr r="N45" s="5"/>
        <tr r="N9" s="5"/>
        <tr r="N8" s="4"/>
        <tr r="N46" s="10"/>
        <tr r="N11" s="10"/>
        <tr r="N10" s="8"/>
        <tr r="N44" s="6"/>
        <tr r="N10" s="6"/>
        <tr r="N8" s="5"/>
        <tr r="N44" s="9"/>
        <tr r="N10" s="10"/>
        <tr r="N7" s="4"/>
        <tr r="N43" s="6"/>
        <tr r="N8" s="11"/>
        <tr r="N44" s="7"/>
        <tr r="N44" s="5"/>
        <tr r="N45" s="10"/>
        <tr r="N9" s="6"/>
        <tr r="N7" s="7"/>
        <tr r="N44" s="11"/>
        <tr r="N9" s="8"/>
        <tr r="N44" s="4"/>
        <tr r="N44" s="8"/>
        <tr r="N7" s="9"/>
        <tr r="N7" s="11"/>
        <tr r="N43" s="8"/>
        <tr r="N42" s="6"/>
        <tr r="N8" s="6"/>
        <tr r="N6" s="9"/>
        <tr r="N44" s="10"/>
        <tr r="N6" s="7"/>
        <tr r="N8" s="8"/>
        <tr r="N6" s="4"/>
        <tr r="N7" s="6"/>
        <tr r="N43" s="9"/>
        <tr r="N9" s="10"/>
        <tr r="N42" s="8"/>
        <tr r="N43" s="5"/>
        <tr r="N7" s="5"/>
        <tr r="N43" s="4"/>
        <tr r="N43" s="7"/>
        <tr r="N43" s="11"/>
        <tr r="N8" s="10"/>
        <tr r="N42" s="4"/>
        <tr r="N5" s="9"/>
        <tr r="N6" s="11"/>
        <tr r="N43" s="10"/>
        <tr r="N5" s="7"/>
        <tr r="N5" s="4"/>
        <tr r="N7" s="8"/>
        <tr r="N6" s="5"/>
        <tr r="N42" s="9"/>
        <tr r="N5" s="5"/>
        <tr r="N41" s="6"/>
        <tr r="N42" s="7"/>
        <tr r="N41" s="8"/>
        <tr r="N42" s="11"/>
        <tr r="N40" s="11"/>
        <tr r="N42" s="5"/>
        <tr r="N39" s="8"/>
        <tr r="N5" s="10"/>
        <tr r="N6" s="6"/>
        <tr r="N38" s="10"/>
        <tr r="N40" s="4"/>
        <tr r="N4" s="4"/>
        <tr r="N41" s="10"/>
        <tr r="N41" s="9"/>
        <tr r="N42" s="10"/>
        <tr r="N41" s="7"/>
        <tr r="N2" s="7"/>
        <tr r="N3" s="9"/>
        <tr r="N2" s="5"/>
        <tr r="N2" s="9"/>
        <tr r="N2" s="8"/>
        <tr r="N41" s="4"/>
        <tr r="N38" s="6"/>
        <tr r="N39" s="4"/>
        <tr r="N4" s="6"/>
        <tr r="N40" s="6"/>
        <tr r="N38" s="5"/>
        <tr r="N38" s="11"/>
        <tr r="N40" s="9"/>
        <tr r="N39" s="7"/>
        <tr r="N5" s="6"/>
        <tr r="N2" s="6"/>
        <tr r="N40" s="5"/>
        <tr r="N6" s="10"/>
        <tr r="N41" s="5"/>
        <tr r="N39" s="6"/>
        <tr r="N39" s="10"/>
        <tr r="N2" s="10"/>
        <tr r="N40" s="7"/>
        <tr r="N38" s="9"/>
        <tr r="N2" s="11"/>
        <tr r="N3" s="8"/>
        <tr r="N5" s="11"/>
        <tr r="N7" s="10"/>
        <tr r="N40" s="10"/>
        <tr r="N2" s="4"/>
        <tr r="N5" s="8"/>
        <tr r="N4" s="10"/>
        <tr r="N39" s="11"/>
        <tr r="N4" s="5"/>
        <tr r="N39" s="9"/>
        <tr r="N4" s="7"/>
        <tr r="N3" s="6"/>
        <tr r="N3" s="10"/>
        <tr r="N4" s="11"/>
        <tr r="N41" s="11"/>
        <tr r="N40" s="8"/>
        <tr r="N39" s="5"/>
        <tr r="N6" s="8"/>
        <tr r="N38" s="7"/>
        <tr r="N3" s="7"/>
        <tr r="N3" s="4"/>
        <tr r="N3" s="5"/>
        <tr r="N4" s="8"/>
        <tr r="N38" s="4"/>
        <tr r="N3" s="11"/>
        <tr r="N4" s="9"/>
        <tr r="N38" s="8"/>
      </tp>
    </main>
    <main first="rtdsrv.1aa3a8d4d84048bb976c05eb55ba5a5f">
      <tp t="s">
        <v/>
        <stp/>
        <stp>Market</stp>
        <stp>FOP</stp>
        <stp>マーケットスピード II にログインして「接続中」の状態に変更してから利用してください。</stp>
        <stp>前日比</stp>
        <tr r="H37" s="7"/>
        <tr r="H37" s="4"/>
        <tr r="H36" s="9"/>
        <tr r="H37" s="9"/>
        <tr r="H36" s="7"/>
        <tr r="H36" s="4"/>
        <tr r="H35" s="4"/>
        <tr r="H37" s="5"/>
        <tr r="H36" s="11"/>
        <tr r="H35" s="7"/>
        <tr r="H36" s="5"/>
        <tr r="H37" s="11"/>
        <tr r="H35" s="9"/>
        <tr r="H35" s="5"/>
        <tr r="H37" s="6"/>
        <tr r="H36" s="6"/>
        <tr r="H35" s="11"/>
        <tr r="H34" s="4"/>
        <tr r="H34" s="7"/>
        <tr r="H37" s="8"/>
        <tr r="H36" s="8"/>
        <tr r="H34" s="11"/>
        <tr r="H34" s="9"/>
        <tr r="H34" s="5"/>
        <tr r="H35" s="6"/>
        <tr r="H33" s="7"/>
        <tr r="H37" s="10"/>
        <tr r="H35" s="8"/>
        <tr r="H36" s="10"/>
        <tr r="H33" s="11"/>
        <tr r="H33" s="4"/>
        <tr r="H35" s="10"/>
        <tr r="H33" s="9"/>
        <tr r="H32" s="9"/>
        <tr r="H34" s="8"/>
        <tr r="H32" s="4"/>
        <tr r="H33" s="5"/>
        <tr r="H32" s="7"/>
        <tr r="H34" s="6"/>
        <tr r="H68" s="6"/>
        <tr r="H31" s="4"/>
        <tr r="H33" s="6"/>
        <tr r="H33" s="8"/>
        <tr r="H32" s="11"/>
        <tr r="H67" s="6"/>
        <tr r="H32" s="5"/>
        <tr r="H34" s="10"/>
        <tr r="H31" s="7"/>
        <tr r="H31" s="9"/>
        <tr r="H66" s="6"/>
        <tr r="H68" s="4"/>
        <tr r="H68" s="8"/>
        <tr r="H68" s="7"/>
        <tr r="H67" s="7"/>
        <tr r="H31" s="11"/>
        <tr r="H30" s="7"/>
        <tr r="H32" s="6"/>
        <tr r="H32" s="8"/>
        <tr r="H68" s="11"/>
        <tr r="H67" s="5"/>
        <tr r="H31" s="5"/>
        <tr r="H67" s="4"/>
        <tr r="H30" s="9"/>
        <tr r="H33" s="10"/>
        <tr r="H67" s="11"/>
        <tr r="H68" s="5"/>
        <tr r="H30" s="4"/>
        <tr r="H67" s="8"/>
        <tr r="H67" s="9"/>
        <tr r="H68" s="9"/>
        <tr r="H66" s="4"/>
        <tr r="H31" s="6"/>
        <tr r="H68" s="10"/>
        <tr r="H29" s="7"/>
        <tr r="H30" s="11"/>
        <tr r="H29" s="4"/>
        <tr r="H66" s="11"/>
        <tr r="H30" s="5"/>
        <tr r="H66" s="7"/>
        <tr r="H65" s="6"/>
        <tr r="H66" s="8"/>
        <tr r="H32" s="10"/>
        <tr r="H66" s="5"/>
        <tr r="H67" s="10"/>
        <tr r="H29" s="9"/>
        <tr r="H66" s="9"/>
        <tr r="H31" s="10"/>
        <tr r="H30" s="8"/>
        <tr r="H28" s="7"/>
        <tr r="H65" s="7"/>
        <tr r="H30" s="6"/>
        <tr r="H65" s="4"/>
        <tr r="H66" s="10"/>
        <tr r="H29" s="5"/>
        <tr r="H29" s="11"/>
        <tr r="H65" s="5"/>
        <tr r="H65" s="8"/>
        <tr r="H65" s="11"/>
        <tr r="H28" s="4"/>
        <tr r="H31" s="8"/>
        <tr r="H65" s="9"/>
        <tr r="H27" s="4"/>
        <tr r="H28" s="5"/>
        <tr r="H27" s="7"/>
        <tr r="H64" s="8"/>
        <tr r="H64" s="6"/>
        <tr r="H64" s="5"/>
        <tr r="H29" s="8"/>
        <tr r="H64" s="7"/>
        <tr r="H28" s="11"/>
        <tr r="H28" s="9"/>
        <tr r="H30" s="10"/>
        <tr r="H63" s="6"/>
        <tr r="H65" s="10"/>
        <tr r="H64" s="4"/>
        <tr r="H64" s="11"/>
        <tr r="H29" s="6"/>
        <tr r="H28" s="8"/>
        <tr r="H62" s="6"/>
        <tr r="H64" s="9"/>
        <tr r="H28" s="6"/>
        <tr r="H27" s="5"/>
        <tr r="H63" s="5"/>
        <tr r="H63" s="4"/>
        <tr r="H27" s="11"/>
        <tr r="H64" s="10"/>
        <tr r="H63" s="11"/>
        <tr r="H26" s="4"/>
        <tr r="H26" s="7"/>
        <tr r="H63" s="8"/>
        <tr r="H27" s="9"/>
        <tr r="H63" s="7"/>
        <tr r="H29" s="10"/>
        <tr r="H26" s="9"/>
        <tr r="H62" s="4"/>
        <tr r="H28" s="10"/>
        <tr r="H25" s="4"/>
        <tr r="H62" s="5"/>
        <tr r="H63" s="9"/>
        <tr r="H63" s="10"/>
        <tr r="H26" s="11"/>
        <tr r="H61" s="6"/>
        <tr r="H62" s="8"/>
        <tr r="H25" s="7"/>
        <tr r="H26" s="5"/>
        <tr r="H62" s="11"/>
        <tr r="H27" s="8"/>
        <tr r="H62" s="9"/>
        <tr r="H62" s="7"/>
        <tr r="H25" s="11"/>
        <tr r="H60" s="6"/>
        <tr r="H26" s="6"/>
        <tr r="H24" s="4"/>
        <tr r="H25" s="5"/>
        <tr r="H26" s="8"/>
        <tr r="H62" s="10"/>
        <tr r="H27" s="6"/>
        <tr r="H24" s="7"/>
        <tr r="H25" s="9"/>
        <tr r="H61" s="8"/>
        <tr r="H61" s="11"/>
        <tr r="H61" s="5"/>
        <tr r="H61" s="7"/>
        <tr r="H61" s="4"/>
        <tr r="H27" s="10"/>
        <tr r="H61" s="9"/>
        <tr r="H60" s="5"/>
        <tr r="H60" s="7"/>
        <tr r="H26" s="10"/>
        <tr r="H60" s="11"/>
        <tr r="H24" s="9"/>
        <tr r="H60" s="4"/>
        <tr r="H24" s="5"/>
        <tr r="H25" s="8"/>
        <tr r="H24" s="11"/>
        <tr r="H25" s="6"/>
        <tr r="H60" s="8"/>
        <tr r="H23" s="4"/>
        <tr r="H23" s="7"/>
        <tr r="H59" s="6"/>
        <tr r="H61" s="10"/>
        <tr r="H23" s="9"/>
        <tr r="H23" s="11"/>
        <tr r="H58" s="6"/>
        <tr r="H25" s="10"/>
        <tr r="H24" s="6"/>
        <tr r="H22" s="7"/>
        <tr r="H23" s="5"/>
        <tr r="H60" s="9"/>
        <tr r="H24" s="8"/>
        <tr r="H59" s="5"/>
        <tr r="H59" s="7"/>
        <tr r="H60" s="10"/>
        <tr r="H59" s="8"/>
        <tr r="H22" s="4"/>
        <tr r="H59" s="4"/>
        <tr r="H59" s="11"/>
        <tr r="H59" s="9"/>
        <tr r="H24" s="10"/>
        <tr r="H58" s="7"/>
        <tr r="H22" s="9"/>
        <tr r="H57" s="6"/>
        <tr r="H58" s="4"/>
        <tr r="H59" s="10"/>
        <tr r="H21" s="7"/>
        <tr r="H58" s="8"/>
        <tr r="H58" s="5"/>
        <tr r="H58" s="11"/>
        <tr r="H22" s="5"/>
        <tr r="H21" s="4"/>
        <tr r="H23" s="8"/>
        <tr r="H22" s="11"/>
        <tr r="H23" s="6"/>
        <tr r="H58" s="10"/>
        <tr r="H22" s="8"/>
        <tr r="H21" s="11"/>
        <tr r="H57" s="8"/>
        <tr r="H57" s="5"/>
        <tr r="H57" s="7"/>
        <tr r="H58" s="9"/>
        <tr r="H21" s="9"/>
        <tr r="H20" s="4"/>
        <tr r="H57" s="4"/>
        <tr r="H57" s="11"/>
        <tr r="H23" s="10"/>
        <tr r="H21" s="5"/>
        <tr r="H56" s="6"/>
        <tr r="H20" s="7"/>
        <tr r="H56" s="5"/>
        <tr r="H20" s="11"/>
        <tr r="H22" s="6"/>
        <tr r="H20" s="9"/>
        <tr r="H20" s="5"/>
        <tr r="H56" s="7"/>
        <tr r="H19" s="7"/>
        <tr r="H19" s="4"/>
        <tr r="H56" s="8"/>
        <tr r="H57" s="9"/>
        <tr r="H21" s="8"/>
        <tr r="H56" s="4"/>
        <tr r="H22" s="10"/>
        <tr r="H57" s="10"/>
        <tr r="H21" s="6"/>
        <tr r="H56" s="11"/>
        <tr r="H55" s="6"/>
        <tr r="H19" s="9"/>
        <tr r="H55" s="8"/>
        <tr r="H56" s="9"/>
        <tr r="H19" s="5"/>
        <tr r="H20" s="8"/>
        <tr r="H18" s="7"/>
        <tr r="H18" s="4"/>
        <tr r="H55" s="4"/>
        <tr r="H55" s="7"/>
        <tr r="H54" s="6"/>
        <tr r="H56" s="10"/>
        <tr r="H55" s="5"/>
        <tr r="H19" s="11"/>
        <tr r="H55" s="11"/>
        <tr r="H21" s="10"/>
        <tr r="H18" s="9"/>
        <tr r="H53" s="6"/>
        <tr r="H20" s="6"/>
        <tr r="H17" s="4"/>
        <tr r="H18" s="11"/>
        <tr r="H55" s="10"/>
        <tr r="H18" s="5"/>
        <tr r="H54" s="4"/>
        <tr r="H17" s="7"/>
        <tr r="H19" s="8"/>
        <tr r="H55" s="9"/>
        <tr r="H54" s="5"/>
        <tr r="H54" s="11"/>
        <tr r="H54" s="8"/>
        <tr r="H20" s="10"/>
        <tr r="H19" s="6"/>
        <tr r="H54" s="9"/>
        <tr r="H17" s="9"/>
        <tr r="H17" s="5"/>
        <tr r="H53" s="8"/>
        <tr r="H53" s="11"/>
        <tr r="H54" s="10"/>
        <tr r="H18" s="6"/>
        <tr r="H54" s="7"/>
        <tr r="H18" s="8"/>
        <tr r="H19" s="10"/>
        <tr r="H16" s="4"/>
        <tr r="H53" s="7"/>
        <tr r="H53" s="4"/>
        <tr r="H53" s="5"/>
        <tr r="H52" s="6"/>
        <tr r="H17" s="11"/>
        <tr r="H16" s="7"/>
        <tr r="H16" s="9"/>
        <tr r="H52" s="11"/>
        <tr r="H52" s="4"/>
        <tr r="H52" s="8"/>
        <tr r="H17" s="8"/>
        <tr r="H18" s="10"/>
        <tr r="H15" s="4"/>
        <tr r="H53" s="10"/>
        <tr r="H16" s="5"/>
        <tr r="H15" s="7"/>
        <tr r="H17" s="6"/>
        <tr r="H53" s="9"/>
        <tr r="H16" s="11"/>
        <tr r="H52" s="5"/>
        <tr r="H52" s="7"/>
        <tr r="H15" s="9"/>
        <tr r="H51" s="6"/>
        <tr r="H52" s="9"/>
        <tr r="H16" s="8"/>
        <tr r="H15" s="11"/>
        <tr r="H51" s="4"/>
        <tr r="H51" s="11"/>
        <tr r="H16" s="6"/>
        <tr r="H14" s="4"/>
        <tr r="H52" s="10"/>
        <tr r="H51" s="8"/>
        <tr r="H17" s="10"/>
        <tr r="H15" s="5"/>
        <tr r="H14" s="7"/>
        <tr r="H50" s="6"/>
        <tr r="H51" s="5"/>
        <tr r="H51" s="7"/>
        <tr r="H51" s="9"/>
        <tr r="H50" s="7"/>
        <tr r="H14" s="9"/>
        <tr r="H50" s="5"/>
        <tr r="H50" s="4"/>
        <tr r="H15" s="6"/>
        <tr r="H51" s="10"/>
        <tr r="H13" s="4"/>
        <tr r="H50" s="8"/>
        <tr r="H16" s="10"/>
        <tr r="H50" s="11"/>
        <tr r="H13" s="7"/>
        <tr r="H49" s="6"/>
        <tr r="H14" s="11"/>
        <tr r="H14" s="5"/>
        <tr r="H15" s="8"/>
        <tr r="H50" s="9"/>
        <tr r="H13" s="9"/>
        <tr r="H50" s="10"/>
        <tr r="H14" s="6"/>
        <tr r="H49" s="11"/>
        <tr r="H13" s="11"/>
        <tr r="H49" s="4"/>
        <tr r="H14" s="8"/>
        <tr r="H49" s="7"/>
        <tr r="H15" s="10"/>
        <tr r="H12" s="9"/>
        <tr r="H13" s="5"/>
        <tr r="H12" s="7"/>
        <tr r="H48" s="6"/>
        <tr r="H49" s="8"/>
        <tr r="H12" s="4"/>
        <tr r="H49" s="5"/>
        <tr r="H49" s="9"/>
        <tr r="H11" s="7"/>
        <tr r="H47" s="6"/>
        <tr r="H13" s="6"/>
        <tr r="H49" s="10"/>
        <tr r="H48" s="4"/>
        <tr r="H11" s="4"/>
        <tr r="H13" s="8"/>
        <tr r="H48" s="11"/>
        <tr r="H12" s="5"/>
        <tr r="H14" s="10"/>
        <tr r="H12" s="11"/>
        <tr r="H48" s="5"/>
        <tr r="H48" s="8"/>
        <tr r="H48" s="7"/>
        <tr r="H10" s="4"/>
        <tr r="H11" s="9"/>
        <tr r="H46" s="6"/>
        <tr r="H47" s="7"/>
        <tr r="H11" s="5"/>
        <tr r="H11" s="11"/>
        <tr r="H10" s="7"/>
        <tr r="H47" s="4"/>
        <tr r="H48" s="9"/>
        <tr r="H12" s="6"/>
        <tr r="H47" s="11"/>
        <tr r="H12" s="8"/>
        <tr r="H47" s="8"/>
        <tr r="H47" s="5"/>
        <tr r="H48" s="10"/>
        <tr r="H13" s="10"/>
        <tr r="H46" s="11"/>
        <tr r="H47" s="10"/>
        <tr r="H10" s="11"/>
        <tr r="H46" s="4"/>
        <tr r="H46" s="5"/>
        <tr r="H46" s="8"/>
        <tr r="H11" s="6"/>
        <tr r="H46" s="7"/>
        <tr r="H10" s="9"/>
        <tr r="H11" s="8"/>
        <tr r="H9" s="4"/>
        <tr r="H47" s="9"/>
        <tr r="H10" s="5"/>
        <tr r="H9" s="7"/>
        <tr r="H12" s="10"/>
        <tr r="H46" s="9"/>
        <tr r="H9" s="9"/>
        <tr r="H45" s="5"/>
        <tr r="H46" s="10"/>
        <tr r="H9" s="11"/>
        <tr r="H9" s="5"/>
        <tr r="H45" s="6"/>
        <tr r="H10" s="8"/>
        <tr r="H8" s="4"/>
        <tr r="H8" s="7"/>
        <tr r="H45" s="4"/>
        <tr r="H45" s="11"/>
        <tr r="H11" s="10"/>
        <tr r="H45" s="8"/>
        <tr r="H45" s="7"/>
        <tr r="H45" s="9"/>
        <tr r="H10" s="6"/>
        <tr r="H8" s="9"/>
        <tr r="H8" s="11"/>
        <tr r="H43" s="6"/>
        <tr r="H10" s="10"/>
        <tr r="H45" s="10"/>
        <tr r="H9" s="6"/>
        <tr r="H9" s="8"/>
        <tr r="H7" s="7"/>
        <tr r="H44" s="7"/>
        <tr r="H44" s="4"/>
        <tr r="H7" s="4"/>
        <tr r="H44" s="6"/>
        <tr r="H8" s="5"/>
        <tr r="H44" s="8"/>
        <tr r="H44" s="5"/>
        <tr r="H44" s="11"/>
        <tr r="H44" s="9"/>
        <tr r="H7" s="9"/>
        <tr r="H6" s="4"/>
        <tr r="H7" s="5"/>
        <tr r="H7" s="11"/>
        <tr r="H43" s="5"/>
        <tr r="H43" s="4"/>
        <tr r="H9" s="10"/>
        <tr r="H8" s="8"/>
        <tr r="H44" s="10"/>
        <tr r="H43" s="8"/>
        <tr r="H43" s="7"/>
        <tr r="H6" s="7"/>
        <tr r="H43" s="11"/>
        <tr r="H42" s="6"/>
        <tr r="H8" s="6"/>
        <tr r="H43" s="9"/>
        <tr r="H6" s="9"/>
        <tr r="H7" s="8"/>
        <tr r="H42" s="4"/>
        <tr r="H6" s="5"/>
        <tr r="H42" s="5"/>
        <tr r="H42" s="11"/>
        <tr r="H42" s="7"/>
        <tr r="H6" s="11"/>
        <tr r="H5" s="7"/>
        <tr r="H7" s="6"/>
        <tr r="H41" s="6"/>
        <tr r="H5" s="4"/>
        <tr r="H8" s="10"/>
        <tr r="H43" s="10"/>
        <tr r="H42" s="8"/>
        <tr r="H5" s="9"/>
        <tr r="H40" s="6"/>
        <tr r="H7" s="10"/>
        <tr r="H41" s="11"/>
        <tr r="H42" s="10"/>
        <tr r="H38" s="4"/>
        <tr r="H5" s="11"/>
        <tr r="H41" s="8"/>
        <tr r="H4" s="4"/>
        <tr r="H42" s="9"/>
        <tr r="H41" s="4"/>
        <tr r="H5" s="5"/>
        <tr r="H6" s="8"/>
        <tr r="H3" s="6"/>
        <tr r="H41" s="5"/>
        <tr r="H6" s="6"/>
        <tr r="H38" s="10"/>
        <tr r="H40" s="4"/>
        <tr r="H41" s="10"/>
        <tr r="H41" s="7"/>
        <tr r="H2" s="7"/>
        <tr r="H3" s="9"/>
        <tr r="H3" s="8"/>
        <tr r="H2" s="5"/>
        <tr r="H2" s="9"/>
        <tr r="H2" s="8"/>
        <tr r="H5" s="10"/>
        <tr r="H38" s="6"/>
        <tr r="H39" s="4"/>
        <tr r="H4" s="7"/>
        <tr r="H38" s="5"/>
        <tr r="H5" s="8"/>
        <tr r="H38" s="11"/>
        <tr r="H39" s="7"/>
        <tr r="H5" s="6"/>
        <tr r="H2" s="6"/>
        <tr r="H6" s="10"/>
        <tr r="H39" s="6"/>
        <tr r="H2" s="10"/>
        <tr r="H40" s="7"/>
        <tr r="H38" s="7"/>
        <tr r="H39" s="10"/>
        <tr r="H41" s="9"/>
        <tr r="H40" s="5"/>
        <tr r="H4" s="10"/>
        <tr r="H40" s="11"/>
        <tr r="H3" s="5"/>
        <tr r="H2" s="11"/>
        <tr r="H2" s="4"/>
        <tr r="H40" s="9"/>
        <tr r="H39" s="5"/>
        <tr r="H4" s="5"/>
        <tr r="H39" s="9"/>
        <tr r="H38" s="9"/>
        <tr r="H3" s="10"/>
        <tr r="H40" s="10"/>
        <tr r="H4" s="6"/>
        <tr r="H4" s="8"/>
        <tr r="H39" s="8"/>
        <tr r="H38" s="8"/>
        <tr r="H3" s="7"/>
        <tr r="H40" s="8"/>
        <tr r="H39" s="11"/>
        <tr r="H3" s="11"/>
        <tr r="H4" s="11"/>
        <tr r="H3" s="4"/>
        <tr r="H4" s="9"/>
        <tr r="F10" s="13"/>
        <tr r="F11" s="13"/>
        <tr r="F8" s="13"/>
        <tr r="F5" s="13"/>
        <tr r="F3" s="13"/>
        <tr r="F4" s="13"/>
        <tr r="F6" s="13"/>
        <tr r="F2" s="13"/>
        <tr r="F12" s="13"/>
        <tr r="F9" s="13"/>
        <tr r="F7" s="13"/>
      </tp>
    </main>
    <main first="rtdsrv.1aa3a8d4d84048bb976c05eb55ba5a5f"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35875</stp>
        <tr r="E7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34875</stp>
        <tr r="E15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33875</stp>
        <tr r="E23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32875</stp>
        <tr r="E31" s="11"/>
      </tp>
    </main>
    <main first="rtdsrv.1aa3a8d4d84048bb976c05eb55ba5a5f"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35875</stp>
        <tr r="E7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34875</stp>
        <tr r="E15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33875</stp>
        <tr r="E23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32875</stp>
        <tr r="E31" s="9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35875</stp>
        <tr r="E7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34875</stp>
        <tr r="E15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33875</stp>
        <tr r="E23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32875</stp>
        <tr r="E31" s="7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29875</stp>
        <tr r="E55" s="4"/>
        <tr r="E55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28875</stp>
        <tr r="E63" s="4"/>
        <tr r="E63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31875</stp>
        <tr r="E39" s="4"/>
        <tr r="E39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30875</stp>
        <tr r="E47" s="5"/>
        <tr r="E47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33875</stp>
        <tr r="E23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32875</stp>
        <tr r="E31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35875</stp>
        <tr r="E7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34875</stp>
        <tr r="E15" s="4"/>
      </tp>
    </main>
    <main first="rtdsrv.1aa3a8d4d84048bb976c05eb55ba5a5f"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35875</stp>
        <tr r="E7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34875</stp>
        <tr r="E15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31875</stp>
        <tr r="E39" s="9"/>
        <tr r="E39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30875</stp>
        <tr r="E47" s="8"/>
        <tr r="E47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33875</stp>
        <tr r="E23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32875</stp>
        <tr r="E31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29875</stp>
        <tr r="E55" s="8"/>
        <tr r="E55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28875</stp>
        <tr r="E63" s="8"/>
        <tr r="E63" s="9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29875</stp>
        <tr r="E55" s="6"/>
        <tr r="E55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28875</stp>
        <tr r="E63" s="6"/>
        <tr r="E63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35875</stp>
        <tr r="E7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34875</stp>
        <tr r="E15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31875</stp>
        <tr r="E39" s="7"/>
        <tr r="E39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30875</stp>
        <tr r="E47" s="6"/>
        <tr r="E47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33875</stp>
        <tr r="E23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32875</stp>
        <tr r="E31" s="6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33875</stp>
        <tr r="E23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32875</stp>
        <tr r="E31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35875</stp>
        <tr r="E7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34875</stp>
        <tr r="E15" s="5"/>
      </tp>
    </main>
    <main first="rtdsrv.1aa3a8d4d84048bb976c05eb55ba5a5f"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29875</stp>
        <tr r="E55" s="11"/>
        <tr r="E55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28875</stp>
        <tr r="E63" s="11"/>
        <tr r="E63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35875</stp>
        <tr r="E7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34875</stp>
        <tr r="E15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31875</stp>
        <tr r="E39" s="10"/>
        <tr r="E39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30875</stp>
        <tr r="E47" s="11"/>
        <tr r="E47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33875</stp>
        <tr r="E23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32875</stp>
        <tr r="E31" s="10"/>
      </tp>
    </main>
    <main first="rtdsrv.1aa3a8d4d84048bb976c05eb55ba5a5f"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35750</stp>
        <tr r="E8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34750</stp>
        <tr r="E16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31750</stp>
        <tr r="E40" s="11"/>
        <tr r="E40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30750</stp>
        <tr r="E48" s="11"/>
        <tr r="E48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33750</stp>
        <tr r="E24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32750</stp>
        <tr r="E32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29750</stp>
        <tr r="E56" s="11"/>
        <tr r="E56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28750</stp>
        <tr r="E64" s="11"/>
        <tr r="E64" s="10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35625</stp>
        <tr r="E9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34625</stp>
        <tr r="E17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31625</stp>
        <tr r="E41" s="9"/>
        <tr r="E41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30625</stp>
        <tr r="E49" s="9"/>
        <tr r="E49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33625</stp>
        <tr r="E25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32625</stp>
        <tr r="E33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29625</stp>
        <tr r="E57" s="8"/>
        <tr r="E57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28625</stp>
        <tr r="E65" s="9"/>
        <tr r="E65" s="8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29625</stp>
        <tr r="E57" s="6"/>
        <tr r="E57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28625</stp>
        <tr r="E65" s="6"/>
        <tr r="E65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35625</stp>
        <tr r="E9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34625</stp>
        <tr r="E17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31625</stp>
        <tr r="E41" s="6"/>
        <tr r="E41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30625</stp>
        <tr r="E49" s="6"/>
        <tr r="E49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33625</stp>
        <tr r="E25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32625</stp>
        <tr r="E33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35500</stp>
        <tr r="E10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34500</stp>
        <tr r="E18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36500</stp>
        <tr r="E2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33500</stp>
        <tr r="E26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32500</stp>
        <tr r="E34" s="7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35500</stp>
        <tr r="E10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34500</stp>
        <tr r="E18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36500</stp>
        <tr r="E2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33500</stp>
        <tr r="E26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32500</stp>
        <tr r="E34" s="9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31500</stp>
        <tr r="E42" s="4"/>
        <tr r="E42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30500</stp>
        <tr r="E50" s="4"/>
        <tr r="E50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33500</stp>
        <tr r="E26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32500</stp>
        <tr r="E34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35500</stp>
        <tr r="E10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34500</stp>
        <tr r="E18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36500</stp>
        <tr r="E2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29500</stp>
        <tr r="E58" s="5"/>
        <tr r="E58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28500</stp>
        <tr r="E66" s="5"/>
        <tr r="E66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33625</stp>
        <tr r="E25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32625</stp>
        <tr r="E33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35625</stp>
        <tr r="E9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34625</stp>
        <tr r="E17" s="5"/>
      </tp>
    </main>
    <main first="rtdsrv.1aa3a8d4d84048bb976c05eb55ba5a5f"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35750</stp>
        <tr r="E8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34750</stp>
        <tr r="E16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31750</stp>
        <tr r="E40" s="6"/>
        <tr r="E40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30750</stp>
        <tr r="E48" s="6"/>
        <tr r="E48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33750</stp>
        <tr r="E24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32750</stp>
        <tr r="E32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29750</stp>
        <tr r="E56" s="6"/>
        <tr r="E56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28750</stp>
        <tr r="E64" s="6"/>
        <tr r="E64" s="7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29750</stp>
        <tr r="E56" s="8"/>
        <tr r="E56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28750</stp>
        <tr r="E64" s="8"/>
        <tr r="E64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35750</stp>
        <tr r="E8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34750</stp>
        <tr r="E16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31750</stp>
        <tr r="E40" s="9"/>
        <tr r="E40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30750</stp>
        <tr r="E48" s="8"/>
        <tr r="E48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33750</stp>
        <tr r="E24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32750</stp>
        <tr r="E32" s="8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29625</stp>
        <tr r="E57" s="11"/>
        <tr r="E57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28625</stp>
        <tr r="E65" s="11"/>
        <tr r="E65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35625</stp>
        <tr r="E9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34625</stp>
        <tr r="E17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31625</stp>
        <tr r="E41" s="10"/>
        <tr r="E41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30625</stp>
        <tr r="E49" s="11"/>
        <tr r="E49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33625</stp>
        <tr r="E25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32625</stp>
        <tr r="E33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35500</stp>
        <tr r="E10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34500</stp>
        <tr r="E18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36500</stp>
        <tr r="E2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33500</stp>
        <tr r="E26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32500</stp>
        <tr r="E34" s="11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33750</stp>
        <tr r="E24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32750</stp>
        <tr r="E32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35750</stp>
        <tr r="E8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34750</stp>
        <tr r="E16" s="5"/>
      </tp>
    </main>
    <main first="rtdsrv.1aa3a8d4d84048bb976c05eb55ba5a5f"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35750</stp>
        <tr r="E8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34750</stp>
        <tr r="E16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33750</stp>
        <tr r="E24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32750</stp>
        <tr r="E32" s="7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35750</stp>
        <tr r="E8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34750</stp>
        <tr r="E16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33750</stp>
        <tr r="E24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32750</stp>
        <tr r="E32" s="9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35625</stp>
        <tr r="E9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34625</stp>
        <tr r="E17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33625</stp>
        <tr r="E25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32625</stp>
        <tr r="E33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35500</stp>
        <tr r="E10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34500</stp>
        <tr r="E18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36500</stp>
        <tr r="E2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31500</stp>
        <tr r="E42" s="11"/>
        <tr r="E42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30500</stp>
        <tr r="E50" s="11"/>
        <tr r="E50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33500</stp>
        <tr r="E26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32500</stp>
        <tr r="E34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29500</stp>
        <tr r="E58" s="11"/>
        <tr r="E58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28500</stp>
        <tr r="E66" s="11"/>
        <tr r="E66" s="10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31750</stp>
        <tr r="E40" s="4"/>
        <tr r="E40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30750</stp>
        <tr r="E48" s="5"/>
        <tr r="E48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33750</stp>
        <tr r="E24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32750</stp>
        <tr r="E32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35750</stp>
        <tr r="E8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34750</stp>
        <tr r="E16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29750</stp>
        <tr r="E56" s="5"/>
        <tr r="E56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28750</stp>
        <tr r="E64" s="4"/>
        <tr r="E64" s="5"/>
      </tp>
    </main>
    <main first="rtdsrv.1aa3a8d4d84048bb976c05eb55ba5a5f"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35750</stp>
        <tr r="E8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34750</stp>
        <tr r="E16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33750</stp>
        <tr r="E24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32750</stp>
        <tr r="E32" s="11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35625</stp>
        <tr r="E9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34625</stp>
        <tr r="E17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33625</stp>
        <tr r="E25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32625</stp>
        <tr r="E33" s="9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35625</stp>
        <tr r="E9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34625</stp>
        <tr r="E17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33625</stp>
        <tr r="E25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32625</stp>
        <tr r="E33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35500</stp>
        <tr r="E10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34500</stp>
        <tr r="E18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36500</stp>
        <tr r="E2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31500</stp>
        <tr r="E42" s="6"/>
        <tr r="E42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30500</stp>
        <tr r="E50" s="6"/>
        <tr r="E50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33500</stp>
        <tr r="E26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32500</stp>
        <tr r="E34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29500</stp>
        <tr r="E58" s="6"/>
        <tr r="E58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28500</stp>
        <tr r="E66" s="6"/>
        <tr r="E66" s="7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29500</stp>
        <tr r="E58" s="8"/>
        <tr r="E58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28500</stp>
        <tr r="E66" s="9"/>
        <tr r="E66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35500</stp>
        <tr r="E10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34500</stp>
        <tr r="E18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36500</stp>
        <tr r="E2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31500</stp>
        <tr r="E42" s="8"/>
        <tr r="E42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30500</stp>
        <tr r="E50" s="9"/>
        <tr r="E50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33500</stp>
        <tr r="E26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32500</stp>
        <tr r="E34" s="8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33500</stp>
        <tr r="E26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32500</stp>
        <tr r="E34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35500</stp>
        <tr r="E10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34500</stp>
        <tr r="E18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36500</stp>
        <tr r="E2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29625</stp>
        <tr r="E57" s="4"/>
        <tr r="E57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28625</stp>
        <tr r="E65" s="5"/>
        <tr r="E65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31625</stp>
        <tr r="E41" s="4"/>
        <tr r="E41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30625</stp>
        <tr r="E49" s="4"/>
        <tr r="E49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33625</stp>
        <tr r="E25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32625</stp>
        <tr r="E33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35625</stp>
        <tr r="E9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34625</stp>
        <tr r="E17" s="4"/>
      </tp>
    </main>
    <main first="rtdsrv.1aa3a8d4d84048bb976c05eb55ba5a5f"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29375</stp>
        <tr r="E59" s="11"/>
        <tr r="E59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28375</stp>
        <tr r="E67" s="11"/>
        <tr r="E67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35375</stp>
        <tr r="E11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34375</stp>
        <tr r="E19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36375</stp>
        <tr r="E3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31375</stp>
        <tr r="E43" s="11"/>
        <tr r="E43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30375</stp>
        <tr r="E51" s="11"/>
        <tr r="E51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33375</stp>
        <tr r="E27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32375</stp>
        <tr r="E35" s="10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35250</stp>
        <tr r="E12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34250</stp>
        <tr r="E20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36250</stp>
        <tr r="E4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31250</stp>
        <tr r="E44" s="6"/>
        <tr r="E44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30250</stp>
        <tr r="E52" s="6"/>
        <tr r="E52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33250</stp>
        <tr r="E28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32250</stp>
        <tr r="E36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29250</stp>
        <tr r="E60" s="6"/>
        <tr r="E60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28250</stp>
        <tr r="E68" s="6"/>
        <tr r="E68" s="7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29250</stp>
        <tr r="E60" s="8"/>
        <tr r="E60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28250</stp>
        <tr r="E68" s="9"/>
        <tr r="E68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35250</stp>
        <tr r="E12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34250</stp>
        <tr r="E20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36250</stp>
        <tr r="E4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31250</stp>
        <tr r="E44" s="9"/>
        <tr r="E44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30250</stp>
        <tr r="E52" s="9"/>
        <tr r="E52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33250</stp>
        <tr r="E28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32250</stp>
        <tr r="E36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35125</stp>
        <tr r="E13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34125</stp>
        <tr r="E21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36125</stp>
        <tr r="E5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33125</stp>
        <tr r="E29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32125</stp>
        <tr r="E37" s="9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35125</stp>
        <tr r="E13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34125</stp>
        <tr r="E21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36125</stp>
        <tr r="E5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33125</stp>
        <tr r="E29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32125</stp>
        <tr r="E37" s="7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35000</stp>
        <tr r="E14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34000</stp>
        <tr r="E22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36000</stp>
        <tr r="E6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33000</stp>
        <tr r="E30" s="11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29125</stp>
        <tr r="E61" s="4"/>
        <tr r="E61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31125</stp>
        <tr r="E45" s="4"/>
        <tr r="E45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30125</stp>
        <tr r="E53" s="5"/>
        <tr r="E53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33125</stp>
        <tr r="E29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32125</stp>
        <tr r="E37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35125</stp>
        <tr r="E13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34125</stp>
        <tr r="E21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36125</stp>
        <tr r="E5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33250</stp>
        <tr r="E28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32250</stp>
        <tr r="E36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35250</stp>
        <tr r="E12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34250</stp>
        <tr r="E20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36250</stp>
        <tr r="E4" s="5"/>
      </tp>
    </main>
    <main first="rtdsrv.1aa3a8d4d84048bb976c05eb55ba5a5f"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35375</stp>
        <tr r="E11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34375</stp>
        <tr r="E19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36375</stp>
        <tr r="E3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31375</stp>
        <tr r="E43" s="8"/>
        <tr r="E43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30375</stp>
        <tr r="E51" s="9"/>
        <tr r="E51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33375</stp>
        <tr r="E27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32375</stp>
        <tr r="E35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29375</stp>
        <tr r="E59" s="8"/>
        <tr r="E59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28375</stp>
        <tr r="E67" s="8"/>
        <tr r="E67" s="9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29375</stp>
        <tr r="E59" s="6"/>
        <tr r="E59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28375</stp>
        <tr r="E67" s="6"/>
        <tr r="E67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35375</stp>
        <tr r="E11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34375</stp>
        <tr r="E19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36375</stp>
        <tr r="E3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31375</stp>
        <tr r="E43" s="6"/>
        <tr r="E43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30375</stp>
        <tr r="E51" s="6"/>
        <tr r="E51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33375</stp>
        <tr r="E27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32375</stp>
        <tr r="E35" s="6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35250</stp>
        <tr r="E12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34250</stp>
        <tr r="E20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36250</stp>
        <tr r="E4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31250</stp>
        <tr r="E44" s="11"/>
        <tr r="E44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30250</stp>
        <tr r="E52" s="11"/>
        <tr r="E52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33250</stp>
        <tr r="E28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32250</stp>
        <tr r="E36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29250</stp>
        <tr r="E60" s="11"/>
        <tr r="E60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28250</stp>
        <tr r="E68" s="11"/>
        <tr r="E68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35125</stp>
        <tr r="E13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34125</stp>
        <tr r="E21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36125</stp>
        <tr r="E5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33125</stp>
        <tr r="E29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32125</stp>
        <tr r="E37" s="11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35000</stp>
        <tr r="E14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34000</stp>
        <tr r="E22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36000</stp>
        <tr r="E6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33000</stp>
        <tr r="E30" s="7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35000</stp>
        <tr r="E14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34000</stp>
        <tr r="E22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36000</stp>
        <tr r="E6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33000</stp>
        <tr r="E30" s="9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31000</stp>
        <tr r="E46" s="4"/>
        <tr r="E46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30000</stp>
        <tr r="E54" s="4"/>
        <tr r="E54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33000</stp>
        <tr r="E30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32000</stp>
        <tr r="E38" s="5"/>
        <tr r="E38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35000</stp>
        <tr r="E14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34000</stp>
        <tr r="E22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36000</stp>
        <tr r="E6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29000</stp>
        <tr r="E62" s="4"/>
        <tr r="E62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33375</stp>
        <tr r="E27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32375</stp>
        <tr r="E35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35375</stp>
        <tr r="E11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34375</stp>
        <tr r="E19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36375</stp>
        <tr r="E3" s="5"/>
      </tp>
    </main>
    <main first="rtdsrv.1aa3a8d4d84048bb976c05eb55ba5a5f"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35375</stp>
        <tr r="E11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34375</stp>
        <tr r="E19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36375</stp>
        <tr r="E3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33375</stp>
        <tr r="E27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32375</stp>
        <tr r="E35" s="9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35375</stp>
        <tr r="E11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34375</stp>
        <tr r="E19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36375</stp>
        <tr r="E3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33375</stp>
        <tr r="E27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32375</stp>
        <tr r="E35" s="7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35250</stp>
        <tr r="E12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34250</stp>
        <tr r="E20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36250</stp>
        <tr r="E4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33250</stp>
        <tr r="E28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32250</stp>
        <tr r="E36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29125</stp>
        <tr r="E61" s="11"/>
        <tr r="E61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35125</stp>
        <tr r="E13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34125</stp>
        <tr r="E21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36125</stp>
        <tr r="E5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31125</stp>
        <tr r="E45" s="11"/>
        <tr r="E45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30125</stp>
        <tr r="E53" s="11"/>
        <tr r="E53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33125</stp>
        <tr r="E29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32125</stp>
        <tr r="E37" s="10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35000</stp>
        <tr r="E14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34000</stp>
        <tr r="E22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36000</stp>
        <tr r="E6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31000</stp>
        <tr r="E46" s="6"/>
        <tr r="E46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30000</stp>
        <tr r="E54" s="6"/>
        <tr r="E54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33000</stp>
        <tr r="E30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32000</stp>
        <tr r="E38" s="6"/>
        <tr r="E38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29000</stp>
        <tr r="E62" s="6"/>
        <tr r="E62" s="7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29000</stp>
        <tr r="E62" s="8"/>
        <tr r="E62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35000</stp>
        <tr r="E14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34000</stp>
        <tr r="E22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36000</stp>
        <tr r="E6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31000</stp>
        <tr r="E46" s="9"/>
        <tr r="E46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30000</stp>
        <tr r="E54" s="9"/>
        <tr r="E54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33000</stp>
        <tr r="E30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32000</stp>
        <tr r="E38" s="9"/>
        <tr r="E38" s="8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33000</stp>
        <tr r="E30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35000</stp>
        <tr r="E14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34000</stp>
        <tr r="E22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36000</stp>
        <tr r="E6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29375</stp>
        <tr r="E59" s="4"/>
        <tr r="E59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28375</stp>
        <tr r="E67" s="4"/>
        <tr r="E67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31375</stp>
        <tr r="E43" s="4"/>
        <tr r="E43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30375</stp>
        <tr r="E51" s="5"/>
        <tr r="E51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33375</stp>
        <tr r="E27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32375</stp>
        <tr r="E35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35375</stp>
        <tr r="E11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34375</stp>
        <tr r="E19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36375</stp>
        <tr r="E3" s="4"/>
      </tp>
    </main>
    <main first="rtdsrv.1aa3a8d4d84048bb976c05eb55ba5a5f"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35375</stp>
        <tr r="E11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34375</stp>
        <tr r="E19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36375</stp>
        <tr r="E3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33375</stp>
        <tr r="E27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2</stp>
        <stp>32375</stp>
        <tr r="E35" s="11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35250</stp>
        <tr r="E12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34250</stp>
        <tr r="E20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36250</stp>
        <tr r="E4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33250</stp>
        <tr r="E28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2</stp>
        <stp>32250</stp>
        <tr r="E36" s="7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35250</stp>
        <tr r="E12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34250</stp>
        <tr r="E20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36250</stp>
        <tr r="E4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33250</stp>
        <tr r="E28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2</stp>
        <stp>32250</stp>
        <tr r="E36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35125</stp>
        <tr r="E13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34125</stp>
        <tr r="E21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36125</stp>
        <tr r="E5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31125</stp>
        <tr r="E45" s="8"/>
        <tr r="E45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30125</stp>
        <tr r="E53" s="8"/>
        <tr r="E53" s="9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33125</stp>
        <tr r="E29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32125</stp>
        <tr r="E37" s="8"/>
      </tp>
      <tp t="s">
        <v>マーケットスピード II にログインして「接続中」の状態に変更してから利用してください。</v>
        <stp/>
        <stp>FOPCode</stp>
        <stp>N225MOP</stp>
        <stp>202310#4</stp>
        <stp>1</stp>
        <stp>29125</stp>
        <tr r="E61" s="9"/>
        <tr r="E61" s="8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29125</stp>
        <tr r="E61" s="6"/>
        <tr r="E61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35125</stp>
        <tr r="E13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34125</stp>
        <tr r="E21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36125</stp>
        <tr r="E5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31125</stp>
        <tr r="E45" s="6"/>
        <tr r="E45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30125</stp>
        <tr r="E53" s="6"/>
        <tr r="E53" s="7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33125</stp>
        <tr r="E29" s="6"/>
      </tp>
      <tp t="s">
        <v>マーケットスピード II にログインして「接続中」の状態に変更してから利用してください。</v>
        <stp/>
        <stp>FOPCode</stp>
        <stp>N225MOP</stp>
        <stp>202310#3</stp>
        <stp>1</stp>
        <stp>32125</stp>
        <tr r="E37" s="6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35000</stp>
        <tr r="E14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34000</stp>
        <tr r="E22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36000</stp>
        <tr r="E6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31000</stp>
        <tr r="E46" s="11"/>
        <tr r="E46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30000</stp>
        <tr r="E54" s="11"/>
        <tr r="E54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33000</stp>
        <tr r="E30" s="10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32000</stp>
        <tr r="E38" s="10"/>
        <tr r="E38" s="11"/>
      </tp>
      <tp t="s">
        <v>マーケットスピード II にログインして「接続中」の状態に変更してから利用してください。</v>
        <stp/>
        <stp>FOPCode</stp>
        <stp>N225MOP</stp>
        <stp>202311#1</stp>
        <stp>1</stp>
        <stp>29000</stp>
        <tr r="E62" s="11"/>
        <tr r="E62" s="10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33125</stp>
        <tr r="E29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32125</stp>
        <tr r="E37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35125</stp>
        <tr r="E13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34125</stp>
        <tr r="E21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2</stp>
        <stp>36125</stp>
        <tr r="E5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31250</stp>
        <tr r="E44" s="4"/>
        <tr r="E44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30250</stp>
        <tr r="E52" s="5"/>
        <tr r="E52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33250</stp>
        <tr r="E28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32250</stp>
        <tr r="E36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35250</stp>
        <tr r="E12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34250</stp>
        <tr r="E20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36250</stp>
        <tr r="E4" s="4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29250</stp>
        <tr r="E60" s="4"/>
        <tr r="E60" s="5"/>
      </tp>
      <tp t="s">
        <v>マーケットスピード II にログインして「接続中」の状態に変更してから利用してください。</v>
        <stp/>
        <stp>FOPCode</stp>
        <stp>N225MOP</stp>
        <stp>202310</stp>
        <stp>1</stp>
        <stp>28250</stp>
        <tr r="E68" s="4"/>
        <tr r="E68" s="5"/>
      </tp>
    </main>
    <main first="rtdsrv.1aa3a8d4d84048bb976c05eb55ba5a5f">
      <tp t="s">
        <v>マーケットスピード II にログインして「接続中」の状態に変更してから利用してください。</v>
        <stp/>
        <stp>FOPCode</stp>
        <stp>N225UF</stp>
        <stp>202403</stp>
        <stp/>
        <stp/>
        <tr r="C12" s="13"/>
      </tp>
      <tp t="s">
        <v>マーケットスピード II にログインして「接続中」の状態に変更してから利用してください。</v>
        <stp/>
        <stp>FOPCode</stp>
        <stp>N225UF</stp>
        <stp>202312</stp>
        <stp/>
        <stp/>
        <tr r="C11" s="13"/>
      </tp>
      <tp t="s">
        <v>マーケットスピード II にログインして「接続中」の状態に変更してから利用してください。</v>
        <stp/>
        <stp>FOPCode</stp>
        <stp>N225UF</stp>
        <stp>202311</stp>
        <stp/>
        <stp/>
        <tr r="C10" s="13"/>
      </tp>
    </main>
    <main first="rtdsrv.1aa3a8d4d84048bb976c05eb55ba5a5f">
      <tp t="s">
        <v>マーケットスピード II にログインして「接続中」の状態に変更してから利用してください。</v>
        <stp/>
        <stp>FOPCode</stp>
        <stp>N225UF</stp>
        <stp>202310</stp>
        <stp/>
        <stp/>
        <tr r="C9" s="13"/>
      </tp>
    </main>
    <main first="rtdsrv.1aa3a8d4d84048bb976c05eb55ba5a5f">
      <tp t="s">
        <v>マーケットスピード II にログインして「接続中」の状態に変更してから利用してください。</v>
        <stp/>
        <stp>FOPCode</stp>
        <stp>N225F</stp>
        <stp>202403</stp>
        <stp/>
        <stp/>
        <tr r="C3" s="13"/>
      </tp>
    </main>
    <main first="rtdsrv.1aa3a8d4d84048bb976c05eb55ba5a5f">
      <tp t="s">
        <v>マーケットスピード II にログインして「接続中」の状態に変更してから利用してください。</v>
        <stp/>
        <stp>FOPCode</stp>
        <stp>N225F</stp>
        <stp>202312</stp>
        <stp/>
        <stp/>
        <tr r="C2" s="13"/>
      </tp>
      <tp t="s">
        <v>マーケットスピード II にログインして「接続中」の状態に変更してから利用してください。</v>
        <stp/>
        <stp>FOPCode</stp>
        <stp>N225MF</stp>
        <stp>202403</stp>
        <stp/>
        <stp/>
        <tr r="C8" s="13"/>
      </tp>
      <tp t="s">
        <v>マーケットスピード II にログインして「接続中」の状態に変更してから利用してください。</v>
        <stp/>
        <stp>FOPCode</stp>
        <stp>N225MF</stp>
        <stp>202312</stp>
        <stp/>
        <stp/>
        <tr r="C6" s="13"/>
      </tp>
      <tp t="s">
        <v>マーケットスピード II にログインして「接続中」の状態に変更してから利用してください。</v>
        <stp/>
        <stp>FOPCode</stp>
        <stp>N225MF</stp>
        <stp>202401</stp>
        <stp/>
        <stp/>
        <tr r="C7" s="13"/>
      </tp>
      <tp t="s">
        <v>マーケットスピード II にログインして「接続中」の状態に変更してから利用してください。</v>
        <stp/>
        <stp>FOPCode</stp>
        <stp>N225MF</stp>
        <stp>202311</stp>
        <stp/>
        <stp/>
        <tr r="C5" s="13"/>
      </tp>
      <tp t="s">
        <v>マーケットスピード II にログインして「接続中」の状態に変更してから利用してください。</v>
        <stp/>
        <stp>FOPCode</stp>
        <stp>N225MF</stp>
        <stp>202310</stp>
        <stp/>
        <stp/>
        <tr r="C4" s="13"/>
      </tp>
      <tp t="s">
        <v/>
        <stp/>
        <stp>Market</stp>
        <stp>FOP</stp>
        <stp>マーケットスピード II にログインして「接続中」の状態に変更してから利用してください。</stp>
        <stp>ガンマ</stp>
        <tr r="M37" s="7"/>
        <tr r="M37" s="4"/>
        <tr r="M36" s="9"/>
        <tr r="M37" s="9"/>
        <tr r="M36" s="4"/>
        <tr r="M35" s="9"/>
        <tr r="M37" s="5"/>
        <tr r="M36" s="7"/>
        <tr r="M37" s="11"/>
        <tr r="M36" s="11"/>
        <tr r="M36" s="5"/>
        <tr r="M35" s="7"/>
        <tr r="M35" s="4"/>
        <tr r="M34" s="7"/>
        <tr r="M35" s="11"/>
        <tr r="M34" s="4"/>
        <tr r="M35" s="5"/>
        <tr r="M36" s="8"/>
        <tr r="M37" s="6"/>
        <tr r="M37" s="8"/>
        <tr r="M34" s="5"/>
        <tr r="M33" s="4"/>
        <tr r="M34" s="9"/>
        <tr r="M36" s="6"/>
        <tr r="M33" s="9"/>
        <tr r="M34" s="11"/>
        <tr r="M37" s="10"/>
        <tr r="M35" s="6"/>
        <tr r="M33" s="7"/>
        <tr r="M35" s="8"/>
        <tr r="M36" s="10"/>
        <tr r="M33" s="11"/>
        <tr r="M32" s="7"/>
        <tr r="M35" s="10"/>
        <tr r="M32" s="9"/>
        <tr r="M34" s="6"/>
        <tr r="M34" s="8"/>
        <tr r="M32" s="4"/>
        <tr r="M33" s="5"/>
        <tr r="M32" s="11"/>
        <tr r="M31" s="4"/>
        <tr r="M31" s="7"/>
        <tr r="M31" s="9"/>
        <tr r="M34" s="10"/>
        <tr r="M33" s="6"/>
        <tr r="M33" s="8"/>
        <tr r="M67" s="6"/>
        <tr r="M68" s="6"/>
        <tr r="M32" s="5"/>
        <tr r="M31" s="5"/>
        <tr r="M67" s="8"/>
        <tr r="M68" s="8"/>
        <tr r="M31" s="11"/>
        <tr r="M67" s="4"/>
        <tr r="M68" s="11"/>
        <tr r="M30" s="7"/>
        <tr r="M67" s="9"/>
        <tr r="M32" s="6"/>
        <tr r="M33" s="10"/>
        <tr r="M67" s="5"/>
        <tr r="M68" s="7"/>
        <tr r="M67" s="11"/>
        <tr r="M67" s="7"/>
        <tr r="M32" s="8"/>
        <tr r="M30" s="4"/>
        <tr r="M68" s="9"/>
        <tr r="M30" s="9"/>
        <tr r="M66" s="6"/>
        <tr r="M31" s="8"/>
        <tr r="M68" s="4"/>
        <tr r="M68" s="5"/>
        <tr r="M29" s="9"/>
        <tr r="M68" s="10"/>
        <tr r="M29" s="7"/>
        <tr r="M66" s="9"/>
        <tr r="M66" s="8"/>
        <tr r="M65" s="6"/>
        <tr r="M66" s="11"/>
        <tr r="M31" s="6"/>
        <tr r="M28" s="7"/>
        <tr r="M29" s="4"/>
        <tr r="M30" s="11"/>
        <tr r="M32" s="10"/>
        <tr r="M66" s="5"/>
        <tr r="M66" s="7"/>
        <tr r="M66" s="4"/>
        <tr r="M67" s="10"/>
        <tr r="M30" s="5"/>
        <tr r="M29" s="11"/>
        <tr r="M30" s="8"/>
        <tr r="M66" s="10"/>
        <tr r="M65" s="9"/>
        <tr r="M65" s="11"/>
        <tr r="M65" s="7"/>
        <tr r="M31" s="10"/>
        <tr r="M65" s="5"/>
        <tr r="M64" s="6"/>
        <tr r="M30" s="6"/>
        <tr r="M28" s="4"/>
        <tr r="M65" s="4"/>
        <tr r="M29" s="5"/>
        <tr r="M64" s="4"/>
        <tr r="M28" s="9"/>
        <tr r="M65" s="8"/>
        <tr r="M27" s="7"/>
        <tr r="M28" s="11"/>
        <tr r="M63" s="6"/>
        <tr r="M29" s="6"/>
        <tr r="M29" s="8"/>
        <tr r="M64" s="7"/>
        <tr r="M27" s="4"/>
        <tr r="M28" s="5"/>
        <tr r="M64" s="11"/>
        <tr r="M64" s="5"/>
        <tr r="M65" s="10"/>
        <tr r="M64" s="8"/>
        <tr r="M27" s="9"/>
        <tr r="M30" s="10"/>
        <tr r="M64" s="9"/>
        <tr r="M63" s="8"/>
        <tr r="M26" s="9"/>
        <tr r="M26" s="7"/>
        <tr r="M28" s="6"/>
        <tr r="M63" s="5"/>
        <tr r="M28" s="8"/>
        <tr r="M63" s="4"/>
        <tr r="M27" s="5"/>
        <tr r="M26" s="11"/>
        <tr r="M64" s="10"/>
        <tr r="M63" s="7"/>
        <tr r="M25" s="7"/>
        <tr r="M26" s="4"/>
        <tr r="M63" s="11"/>
        <tr r="M26" s="5"/>
        <tr r="M63" s="9"/>
        <tr r="M62" s="6"/>
        <tr r="M27" s="11"/>
        <tr r="M29" s="10"/>
        <tr r="M27" s="8"/>
        <tr r="M62" s="4"/>
        <tr r="M62" s="11"/>
        <tr r="M62" s="8"/>
        <tr r="M62" s="7"/>
        <tr r="M63" s="10"/>
        <tr r="M61" s="6"/>
        <tr r="M25" s="4"/>
        <tr r="M62" s="9"/>
        <tr r="M62" s="5"/>
        <tr r="M28" s="10"/>
        <tr r="M60" s="6"/>
        <tr r="M27" s="6"/>
        <tr r="M25" s="9"/>
        <tr r="M24" s="4"/>
        <tr r="M62" s="10"/>
        <tr r="M61" s="9"/>
        <tr r="M26" s="8"/>
        <tr r="M26" s="6"/>
        <tr r="M24" s="7"/>
        <tr r="M61" s="7"/>
        <tr r="M25" s="11"/>
        <tr r="M25" s="5"/>
        <tr r="M61" s="5"/>
        <tr r="M60" s="4"/>
        <tr r="M61" s="8"/>
        <tr r="M27" s="10"/>
        <tr r="M24" s="9"/>
        <tr r="M61" s="11"/>
        <tr r="M61" s="4"/>
        <tr r="M59" s="6"/>
        <tr r="M60" s="8"/>
        <tr r="M26" s="10"/>
        <tr r="M23" s="9"/>
        <tr r="M24" s="11"/>
        <tr r="M23" s="7"/>
        <tr r="M60" s="11"/>
        <tr r="M60" s="9"/>
        <tr r="M25" s="8"/>
        <tr r="M61" s="10"/>
        <tr r="M25" s="6"/>
        <tr r="M24" s="5"/>
        <tr r="M24" s="8"/>
        <tr r="M60" s="5"/>
        <tr r="M23" s="4"/>
        <tr r="M60" s="7"/>
        <tr r="M24" s="6"/>
        <tr r="M59" s="11"/>
        <tr r="M59" s="4"/>
        <tr r="M59" s="5"/>
        <tr r="M59" s="7"/>
        <tr r="M23" s="11"/>
        <tr r="M59" s="8"/>
        <tr r="M58" s="6"/>
        <tr r="M60" s="10"/>
        <tr r="M59" s="9"/>
        <tr r="M22" s="7"/>
        <tr r="M25" s="10"/>
        <tr r="M22" s="4"/>
        <tr r="M23" s="5"/>
        <tr r="M22" s="9"/>
        <tr r="M24" s="10"/>
        <tr r="M58" s="8"/>
        <tr r="M23" s="6"/>
        <tr r="M58" s="5"/>
        <tr r="M21" s="7"/>
        <tr r="M21" s="4"/>
        <tr r="M58" s="4"/>
        <tr r="M58" s="11"/>
        <tr r="M57" s="6"/>
        <tr r="M21" s="9"/>
        <tr r="M22" s="5"/>
        <tr r="M58" s="9"/>
        <tr r="M58" s="7"/>
        <tr r="M57" s="5"/>
        <tr r="M22" s="11"/>
        <tr r="M59" s="10"/>
        <tr r="M23" s="8"/>
        <tr r="M22" s="8"/>
        <tr r="M57" s="4"/>
        <tr r="M56" s="6"/>
        <tr r="M58" s="10"/>
        <tr r="M57" s="8"/>
        <tr r="M57" s="9"/>
        <tr r="M57" s="7"/>
        <tr r="M22" s="6"/>
        <tr r="M20" s="9"/>
        <tr r="M21" s="8"/>
        <tr r="M20" s="4"/>
        <tr r="M21" s="5"/>
        <tr r="M23" s="10"/>
        <tr r="M20" s="7"/>
        <tr r="M57" s="11"/>
        <tr r="M21" s="11"/>
        <tr r="M19" s="7"/>
        <tr r="M56" s="4"/>
        <tr r="M21" s="6"/>
        <tr r="M20" s="5"/>
        <tr r="M56" s="11"/>
        <tr r="M56" s="7"/>
        <tr r="M56" s="9"/>
        <tr r="M20" s="11"/>
        <tr r="M19" s="9"/>
        <tr r="M56" s="8"/>
        <tr r="M56" s="5"/>
        <tr r="M55" s="6"/>
        <tr r="M22" s="10"/>
        <tr r="M19" s="4"/>
        <tr r="M57" s="10"/>
        <tr r="M54" s="6"/>
        <tr r="M55" s="4"/>
        <tr r="M55" s="5"/>
        <tr r="M20" s="8"/>
        <tr r="M18" s="9"/>
        <tr r="M55" s="7"/>
        <tr r="M55" s="11"/>
        <tr r="M19" s="11"/>
        <tr r="M18" s="7"/>
        <tr r="M18" s="4"/>
        <tr r="M19" s="5"/>
        <tr r="M55" s="8"/>
        <tr r="M21" s="10"/>
        <tr r="M20" s="6"/>
        <tr r="M55" s="9"/>
        <tr r="M56" s="10"/>
        <tr r="M19" s="8"/>
        <tr r="M54" s="9"/>
        <tr r="M20" s="10"/>
        <tr r="M54" s="11"/>
        <tr r="M54" s="4"/>
        <tr r="M17" s="9"/>
        <tr r="M17" s="7"/>
        <tr r="M54" s="8"/>
        <tr r="M17" s="4"/>
        <tr r="M18" s="11"/>
        <tr r="M54" s="5"/>
        <tr r="M19" s="6"/>
        <tr r="M18" s="5"/>
        <tr r="M16" s="4"/>
        <tr r="M55" s="10"/>
        <tr r="M54" s="7"/>
        <tr r="M53" s="6"/>
        <tr r="M53" s="7"/>
        <tr r="M19" s="10"/>
        <tr r="M16" s="9"/>
        <tr r="M53" s="11"/>
        <tr r="M53" s="5"/>
        <tr r="M53" s="4"/>
        <tr r="M18" s="8"/>
        <tr r="M52" s="6"/>
        <tr r="M54" s="10"/>
        <tr r="M53" s="9"/>
        <tr r="M53" s="8"/>
        <tr r="M18" s="6"/>
        <tr r="M17" s="11"/>
        <tr r="M17" s="5"/>
        <tr r="M16" s="7"/>
        <tr r="M17" s="6"/>
        <tr r="M53" s="10"/>
        <tr r="M18" s="10"/>
        <tr r="M52" s="7"/>
        <tr r="M51" s="6"/>
        <tr r="M16" s="11"/>
        <tr r="M52" s="9"/>
        <tr r="M15" s="7"/>
        <tr r="M15" s="4"/>
        <tr r="M52" s="4"/>
        <tr r="M52" s="5"/>
        <tr r="M52" s="8"/>
        <tr r="M15" s="9"/>
        <tr r="M16" s="5"/>
        <tr r="M51" s="7"/>
        <tr r="M52" s="11"/>
        <tr r="M17" s="8"/>
        <tr r="M50" s="6"/>
        <tr r="M51" s="11"/>
        <tr r="M17" s="10"/>
        <tr r="M51" s="5"/>
        <tr r="M16" s="8"/>
        <tr r="M51" s="9"/>
        <tr r="M15" s="5"/>
        <tr r="M14" s="4"/>
        <tr r="M51" s="4"/>
        <tr r="M14" s="9"/>
        <tr r="M14" s="7"/>
        <tr r="M16" s="6"/>
        <tr r="M52" s="10"/>
        <tr r="M15" s="11"/>
        <tr r="M51" s="8"/>
        <tr r="M50" s="7"/>
        <tr r="M50" s="9"/>
        <tr r="M51" s="10"/>
        <tr r="M13" s="4"/>
        <tr r="M13" s="7"/>
        <tr r="M50" s="4"/>
        <tr r="M50" s="8"/>
        <tr r="M14" s="5"/>
        <tr r="M15" s="6"/>
        <tr r="M15" s="8"/>
        <tr r="M50" s="5"/>
        <tr r="M16" s="10"/>
        <tr r="M49" s="6"/>
        <tr r="M14" s="8"/>
        <tr r="M14" s="11"/>
        <tr r="M13" s="9"/>
        <tr r="M50" s="11"/>
        <tr r="M12" s="4"/>
        <tr r="M14" s="6"/>
        <tr r="M12" s="7"/>
        <tr r="M49" s="5"/>
        <tr r="M49" s="9"/>
        <tr r="M49" s="4"/>
        <tr r="M48" s="4"/>
        <tr r="M15" s="10"/>
        <tr r="M49" s="11"/>
        <tr r="M13" s="5"/>
        <tr r="M49" s="7"/>
        <tr r="M48" s="6"/>
        <tr r="M13" s="8"/>
        <tr r="M49" s="8"/>
        <tr r="M13" s="11"/>
        <tr r="M50" s="10"/>
        <tr r="M12" s="9"/>
        <tr r="M11" s="4"/>
        <tr r="M48" s="7"/>
        <tr r="M48" s="11"/>
        <tr r="M11" s="7"/>
        <tr r="M47" s="6"/>
        <tr r="M48" s="5"/>
        <tr r="M10" s="4"/>
        <tr r="M49" s="10"/>
        <tr r="M48" s="9"/>
        <tr r="M13" s="6"/>
        <tr r="M12" s="11"/>
        <tr r="M11" s="9"/>
        <tr r="M48" s="8"/>
        <tr r="M14" s="10"/>
        <tr r="M12" s="8"/>
        <tr r="M12" s="5"/>
        <tr r="M13" s="10"/>
        <tr r="M11" s="11"/>
        <tr r="M46" s="6"/>
        <tr r="M47" s="8"/>
        <tr r="M47" s="5"/>
        <tr r="M47" s="7"/>
        <tr r="M10" s="7"/>
        <tr r="M11" s="5"/>
        <tr r="M10" s="9"/>
        <tr r="M47" s="4"/>
        <tr r="M12" s="6"/>
        <tr r="M46" s="5"/>
        <tr r="M48" s="10"/>
        <tr r="M47" s="9"/>
        <tr r="M47" s="11"/>
        <tr r="M11" s="6"/>
        <tr r="M46" s="9"/>
        <tr r="M10" s="11"/>
        <tr r="M12" s="10"/>
        <tr r="M46" s="4"/>
        <tr r="M47" s="10"/>
        <tr r="M46" s="7"/>
        <tr r="M11" s="8"/>
        <tr r="M45" s="6"/>
        <tr r="M9" s="4"/>
        <tr r="M9" s="7"/>
        <tr r="M46" s="11"/>
        <tr r="M10" s="5"/>
        <tr r="M46" s="8"/>
        <tr r="M9" s="9"/>
        <tr r="M45" s="4"/>
        <tr r="M9" s="11"/>
        <tr r="M8" s="7"/>
        <tr r="M45" s="8"/>
        <tr r="M45" s="7"/>
        <tr r="M45" s="9"/>
        <tr r="M11" s="10"/>
        <tr r="M9" s="5"/>
        <tr r="M45" s="11"/>
        <tr r="M45" s="5"/>
        <tr r="M10" s="8"/>
        <tr r="M44" s="6"/>
        <tr r="M8" s="9"/>
        <tr r="M46" s="10"/>
        <tr r="M8" s="4"/>
        <tr r="M10" s="6"/>
        <tr r="M8" s="5"/>
        <tr r="M44" s="9"/>
        <tr r="M10" s="10"/>
        <tr r="M7" s="4"/>
        <tr r="M43" s="6"/>
        <tr r="M44" s="11"/>
        <tr r="M45" s="10"/>
        <tr r="M9" s="8"/>
        <tr r="M7" s="9"/>
        <tr r="M44" s="4"/>
        <tr r="M8" s="11"/>
        <tr r="M44" s="8"/>
        <tr r="M44" s="7"/>
        <tr r="M7" s="7"/>
        <tr r="M9" s="6"/>
        <tr r="M44" s="5"/>
        <tr r="M43" s="8"/>
        <tr r="M42" s="6"/>
        <tr r="M9" s="10"/>
        <tr r="M6" s="9"/>
        <tr r="M44" s="10"/>
        <tr r="M6" s="7"/>
        <tr r="M8" s="8"/>
        <tr r="M6" s="4"/>
        <tr r="M8" s="6"/>
        <tr r="M7" s="5"/>
        <tr r="M43" s="4"/>
        <tr r="M43" s="9"/>
        <tr r="M43" s="5"/>
        <tr r="M43" s="11"/>
        <tr r="M7" s="11"/>
        <tr r="M43" s="7"/>
        <tr r="M5" s="4"/>
        <tr r="M42" s="8"/>
        <tr r="M7" s="6"/>
        <tr r="M43" s="10"/>
        <tr r="M6" s="5"/>
        <tr r="M5" s="7"/>
        <tr r="M8" s="10"/>
        <tr r="M41" s="6"/>
        <tr r="M42" s="7"/>
        <tr r="M42" s="4"/>
        <tr r="M42" s="5"/>
        <tr r="M5" s="9"/>
        <tr r="M3" s="4"/>
        <tr r="M6" s="11"/>
        <tr r="M42" s="9"/>
        <tr r="M42" s="11"/>
        <tr r="M2" s="5"/>
        <tr r="M7" s="8"/>
        <tr r="M6" s="6"/>
        <tr r="M38" s="10"/>
        <tr r="M4" s="4"/>
        <tr r="M41" s="10"/>
        <tr r="M41" s="9"/>
        <tr r="M42" s="10"/>
        <tr r="M41" s="7"/>
        <tr r="M2" s="7"/>
        <tr r="M2" s="11"/>
        <tr r="M3" s="9"/>
        <tr r="M3" s="8"/>
        <tr r="M2" s="9"/>
        <tr r="M5" s="10"/>
        <tr r="M38" s="6"/>
        <tr r="M4" s="10"/>
        <tr r="M4" s="7"/>
        <tr r="M4" s="6"/>
        <tr r="M3" s="6"/>
        <tr r="M40" s="6"/>
        <tr r="M40" s="11"/>
        <tr r="M38" s="5"/>
        <tr r="M40" s="5"/>
        <tr r="M6" s="10"/>
        <tr r="M41" s="5"/>
        <tr r="M6" s="8"/>
        <tr r="M5" s="11"/>
        <tr r="M39" s="10"/>
        <tr r="M40" s="7"/>
        <tr r="M3" s="5"/>
        <tr r="M4" s="5"/>
        <tr r="M2" s="8"/>
        <tr r="M41" s="4"/>
        <tr r="M40" s="4"/>
        <tr r="M2" s="6"/>
        <tr r="M38" s="8"/>
        <tr r="M39" s="4"/>
        <tr r="M40" s="9"/>
        <tr r="M39" s="8"/>
        <tr r="M7" s="10"/>
        <tr r="M39" s="6"/>
        <tr r="M41" s="11"/>
        <tr r="M40" s="10"/>
        <tr r="M39" s="5"/>
        <tr r="M5" s="8"/>
        <tr r="M3" s="11"/>
        <tr r="M41" s="8"/>
        <tr r="M2" s="4"/>
        <tr r="M38" s="7"/>
        <tr r="M2" s="10"/>
        <tr r="M38" s="11"/>
        <tr r="M39" s="7"/>
        <tr r="M5" s="6"/>
        <tr r="M3" s="7"/>
        <tr r="M39" s="9"/>
        <tr r="M38" s="4"/>
        <tr r="M3" s="10"/>
        <tr r="M40" s="8"/>
        <tr r="M4" s="11"/>
        <tr r="M4" s="8"/>
        <tr r="M4" s="9"/>
        <tr r="M5" s="5"/>
        <tr r="M38" s="9"/>
        <tr r="M39" s="11"/>
      </tp>
      <tp t="s">
        <v/>
        <stp/>
        <stp>Market</stp>
        <stp>FOP</stp>
        <stp>マーケットスピード II にログインして「接続中」の状態に変更してから利用してください。</stp>
        <stp>最良買気配値1</stp>
        <tr r="J37" s="7"/>
        <tr r="J37" s="4"/>
        <tr r="J37" s="9"/>
        <tr r="J35" s="7"/>
        <tr r="J36" s="9"/>
        <tr r="J36" s="4"/>
        <tr r="J36" s="7"/>
        <tr r="J35" s="9"/>
        <tr r="J37" s="5"/>
        <tr r="J37" s="11"/>
        <tr r="J35" s="4"/>
        <tr r="J36" s="8"/>
        <tr r="J36" s="5"/>
        <tr r="J36" s="11"/>
        <tr r="J34" s="7"/>
        <tr r="J37" s="6"/>
        <tr r="J36" s="6"/>
        <tr r="J35" s="11"/>
        <tr r="J37" s="8"/>
        <tr r="J36" s="10"/>
        <tr r="J34" s="4"/>
        <tr r="J35" s="5"/>
        <tr r="J34" s="9"/>
        <tr r="J33" s="4"/>
        <tr r="J34" s="5"/>
        <tr r="J34" s="11"/>
        <tr r="J32" s="4"/>
        <tr r="J33" s="7"/>
        <tr r="J37" s="10"/>
        <tr r="J35" s="6"/>
        <tr r="J33" s="9"/>
        <tr r="J35" s="8"/>
        <tr r="J34" s="8"/>
        <tr r="J32" s="9"/>
        <tr r="J32" s="7"/>
        <tr r="J34" s="6"/>
        <tr r="J33" s="5"/>
        <tr r="J33" s="11"/>
        <tr r="J35" s="10"/>
        <tr r="J32" s="11"/>
        <tr r="J31" s="4"/>
        <tr r="J31" s="7"/>
        <tr r="J34" s="10"/>
        <tr r="J32" s="5"/>
        <tr r="J33" s="8"/>
        <tr r="J31" s="9"/>
        <tr r="J68" s="6"/>
        <tr r="J30" s="7"/>
        <tr r="J33" s="6"/>
        <tr r="J67" s="6"/>
        <tr r="J68" s="8"/>
        <tr r="J67" s="8"/>
        <tr r="J67" s="4"/>
        <tr r="J68" s="11"/>
        <tr r="J31" s="5"/>
        <tr r="J67" s="9"/>
        <tr r="J32" s="6"/>
        <tr r="J68" s="9"/>
        <tr r="J68" s="4"/>
        <tr r="J68" s="5"/>
        <tr r="J31" s="11"/>
        <tr r="J67" s="5"/>
        <tr r="J67" s="7"/>
        <tr r="J68" s="7"/>
        <tr r="J32" s="8"/>
        <tr r="J33" s="10"/>
        <tr r="J30" s="9"/>
        <tr r="J67" s="11"/>
        <tr r="J66" s="6"/>
        <tr r="J30" s="4"/>
        <tr r="J29" s="9"/>
        <tr r="J68" s="10"/>
        <tr r="J29" s="7"/>
        <tr r="J31" s="6"/>
        <tr r="J65" s="6"/>
        <tr r="J29" s="4"/>
        <tr r="J66" s="11"/>
        <tr r="J66" s="5"/>
        <tr r="J30" s="11"/>
        <tr r="J66" s="7"/>
        <tr r="J32" s="10"/>
        <tr r="J65" s="4"/>
        <tr r="J66" s="4"/>
        <tr r="J66" s="8"/>
        <tr r="J65" s="11"/>
        <tr r="J66" s="9"/>
        <tr r="J67" s="10"/>
        <tr r="J30" s="5"/>
        <tr r="J31" s="8"/>
        <tr r="J29" s="11"/>
        <tr r="J30" s="8"/>
        <tr r="J66" s="10"/>
        <tr r="J28" s="7"/>
        <tr r="J28" s="4"/>
        <tr r="J65" s="5"/>
        <tr r="J65" s="9"/>
        <tr r="J30" s="6"/>
        <tr r="J64" s="7"/>
        <tr r="J64" s="6"/>
        <tr r="J29" s="5"/>
        <tr r="J31" s="10"/>
        <tr r="J65" s="7"/>
        <tr r="J28" s="9"/>
        <tr r="J65" s="8"/>
        <tr r="J65" s="10"/>
        <tr r="J64" s="4"/>
        <tr r="J27" s="7"/>
        <tr r="J28" s="11"/>
        <tr r="J63" s="6"/>
        <tr r="J64" s="11"/>
        <tr r="J29" s="6"/>
        <tr r="J29" s="8"/>
        <tr r="J64" s="8"/>
        <tr r="J64" s="5"/>
        <tr r="J64" s="9"/>
        <tr r="J28" s="5"/>
        <tr r="J30" s="10"/>
        <tr r="J27" s="4"/>
        <tr r="J27" s="9"/>
        <tr r="J26" s="9"/>
        <tr r="J63" s="4"/>
        <tr r="J26" s="7"/>
        <tr r="J63" s="5"/>
        <tr r="J63" s="7"/>
        <tr r="J64" s="10"/>
        <tr r="J63" s="8"/>
        <tr r="J28" s="6"/>
        <tr r="J61" s="6"/>
        <tr r="J28" s="8"/>
        <tr r="J63" s="11"/>
        <tr r="J29" s="10"/>
        <tr r="J27" s="5"/>
        <tr r="J26" s="4"/>
        <tr r="J62" s="6"/>
        <tr r="J63" s="9"/>
        <tr r="J27" s="11"/>
        <tr r="J27" s="8"/>
        <tr r="J62" s="4"/>
        <tr r="J62" s="11"/>
        <tr r="J62" s="8"/>
        <tr r="J62" s="7"/>
        <tr r="J63" s="10"/>
        <tr r="J25" s="7"/>
        <tr r="J26" s="5"/>
        <tr r="J26" s="11"/>
        <tr r="J27" s="6"/>
        <tr r="J62" s="5"/>
        <tr r="J28" s="10"/>
        <tr r="J24" s="7"/>
        <tr r="J62" s="9"/>
        <tr r="J25" s="4"/>
        <tr r="J25" s="9"/>
        <tr r="J61" s="9"/>
        <tr r="J26" s="8"/>
        <tr r="J26" s="6"/>
        <tr r="J24" s="4"/>
        <tr r="J27" s="10"/>
        <tr r="J61" s="8"/>
        <tr r="J61" s="4"/>
        <tr r="J25" s="5"/>
        <tr r="J61" s="7"/>
        <tr r="J62" s="10"/>
        <tr r="J25" s="11"/>
        <tr r="J24" s="9"/>
        <tr r="J60" s="6"/>
        <tr r="J61" s="5"/>
        <tr r="J61" s="11"/>
        <tr r="J59" s="6"/>
        <tr r="J60" s="8"/>
        <tr r="J26" s="10"/>
        <tr r="J23" s="9"/>
        <tr r="J25" s="6"/>
        <tr r="J60" s="4"/>
        <tr r="J60" s="7"/>
        <tr r="J61" s="10"/>
        <tr r="J24" s="11"/>
        <tr r="J59" s="7"/>
        <tr r="J23" s="7"/>
        <tr r="J24" s="5"/>
        <tr r="J60" s="11"/>
        <tr r="J60" s="9"/>
        <tr r="J60" s="5"/>
        <tr r="J23" s="4"/>
        <tr r="J25" s="8"/>
        <tr r="J24" s="6"/>
        <tr r="J25" s="10"/>
        <tr r="J59" s="4"/>
        <tr r="J59" s="8"/>
        <tr r="J59" s="11"/>
        <tr r="J59" s="5"/>
        <tr r="J24" s="8"/>
        <tr r="J23" s="5"/>
        <tr r="J58" s="4"/>
        <tr r="J22" s="9"/>
        <tr r="J60" s="10"/>
        <tr r="J23" s="11"/>
        <tr r="J22" s="4"/>
        <tr r="J22" s="7"/>
        <tr r="J59" s="9"/>
        <tr r="J58" s="6"/>
        <tr r="J58" s="8"/>
        <tr r="J58" s="7"/>
        <tr r="J21" s="7"/>
        <tr r="J21" s="4"/>
        <tr r="J58" s="9"/>
        <tr r="J58" s="11"/>
        <tr r="J57" s="6"/>
        <tr r="J22" s="5"/>
        <tr r="J24" s="10"/>
        <tr r="J21" s="9"/>
        <tr r="J58" s="5"/>
        <tr r="J23" s="6"/>
        <tr r="J22" s="11"/>
        <tr r="J57" s="8"/>
        <tr r="J23" s="8"/>
        <tr r="J59" s="10"/>
        <tr r="J22" s="8"/>
        <tr r="J57" s="4"/>
        <tr r="J21" s="5"/>
        <tr r="J58" s="10"/>
        <tr r="J20" s="4"/>
        <tr r="J20" s="7"/>
        <tr r="J23" s="10"/>
        <tr r="J21" s="11"/>
        <tr r="J57" s="9"/>
        <tr r="J56" s="6"/>
        <tr r="J57" s="11"/>
        <tr r="J20" s="9"/>
        <tr r="J57" s="5"/>
        <tr r="J22" s="6"/>
        <tr r="J57" s="7"/>
        <tr r="J21" s="6"/>
        <tr r="J56" s="5"/>
        <tr r="J56" s="4"/>
        <tr r="J20" s="5"/>
        <tr r="J21" s="8"/>
        <tr r="J22" s="10"/>
        <tr r="J56" s="8"/>
        <tr r="J56" s="9"/>
        <tr r="J56" s="11"/>
        <tr r="J56" s="7"/>
        <tr r="J19" s="4"/>
        <tr r="J57" s="10"/>
        <tr r="J20" s="8"/>
        <tr r="J55" s="6"/>
        <tr r="J20" s="11"/>
        <tr r="J19" s="7"/>
        <tr r="J19" s="9"/>
        <tr r="J54" s="6"/>
        <tr r="J55" s="4"/>
        <tr r="J55" s="5"/>
        <tr r="J18" s="4"/>
        <tr r="J18" s="9"/>
        <tr r="J55" s="7"/>
        <tr r="J55" s="11"/>
        <tr r="J20" s="6"/>
        <tr r="J19" s="11"/>
        <tr r="J55" s="8"/>
        <tr r="J55" s="10"/>
        <tr r="J21" s="10"/>
        <tr r="J55" s="9"/>
        <tr r="J56" s="10"/>
        <tr r="J19" s="5"/>
        <tr r="J18" s="5"/>
        <tr r="J18" s="7"/>
        <tr r="J54" s="9"/>
        <tr r="J54" s="11"/>
        <tr r="J54" s="4"/>
        <tr r="J17" s="9"/>
        <tr r="J17" s="7"/>
        <tr r="J54" s="5"/>
        <tr r="J19" s="6"/>
        <tr r="J19" s="8"/>
        <tr r="J20" s="10"/>
        <tr r="J54" s="7"/>
        <tr r="J18" s="11"/>
        <tr r="J17" s="4"/>
        <tr r="J53" s="6"/>
        <tr r="J54" s="8"/>
        <tr r="J53" s="7"/>
        <tr r="J19" s="10"/>
        <tr r="J16" s="9"/>
        <tr r="J17" s="11"/>
        <tr r="J53" s="11"/>
        <tr r="J54" s="10"/>
        <tr r="J53" s="5"/>
        <tr r="J16" s="4"/>
        <tr r="J53" s="8"/>
        <tr r="J16" s="7"/>
        <tr r="J15" s="9"/>
        <tr r="J18" s="6"/>
        <tr r="J53" s="4"/>
        <tr r="J52" s="6"/>
        <tr r="J18" s="8"/>
        <tr r="J17" s="5"/>
        <tr r="J53" s="9"/>
        <tr r="J53" s="10"/>
        <tr r="J52" s="5"/>
        <tr r="J18" s="10"/>
        <tr r="J52" s="7"/>
        <tr r="J16" s="11"/>
        <tr r="J52" s="8"/>
        <tr r="J52" s="4"/>
        <tr r="J15" s="7"/>
        <tr r="J52" s="9"/>
        <tr r="J16" s="5"/>
        <tr r="J17" s="6"/>
        <tr r="J51" s="6"/>
        <tr r="J17" s="8"/>
        <tr r="J15" s="4"/>
        <tr r="J52" s="11"/>
        <tr r="J51" s="9"/>
        <tr r="J50" s="6"/>
        <tr r="J17" s="10"/>
        <tr r="J51" s="5"/>
        <tr r="J16" s="8"/>
        <tr r="J16" s="6"/>
        <tr r="J51" s="7"/>
        <tr r="J14" s="4"/>
        <tr r="J14" s="7"/>
        <tr r="J16" s="10"/>
        <tr r="J15" s="5"/>
        <tr r="J51" s="11"/>
        <tr r="J52" s="10"/>
        <tr r="J51" s="8"/>
        <tr r="J14" s="9"/>
        <tr r="J15" s="11"/>
        <tr r="J51" s="4"/>
        <tr r="J50" s="7"/>
        <tr r="J50" s="9"/>
        <tr r="J13" s="7"/>
        <tr r="J49" s="6"/>
        <tr r="J50" s="4"/>
        <tr r="J14" s="11"/>
        <tr r="J15" s="6"/>
        <tr r="J51" s="10"/>
        <tr r="J50" s="8"/>
        <tr r="J50" s="5"/>
        <tr r="J14" s="5"/>
        <tr r="J13" s="4"/>
        <tr r="J13" s="9"/>
        <tr r="J15" s="8"/>
        <tr r="J50" s="11"/>
        <tr r="J49" s="4"/>
        <tr r="J48" s="6"/>
        <tr r="J15" s="10"/>
        <tr r="J49" s="9"/>
        <tr r="J12" s="7"/>
        <tr r="J49" s="7"/>
        <tr r="J14" s="8"/>
        <tr r="J13" s="5"/>
        <tr r="J49" s="8"/>
        <tr r="J12" s="4"/>
        <tr r="J11" s="7"/>
        <tr r="J13" s="11"/>
        <tr r="J49" s="5"/>
        <tr r="J49" s="11"/>
        <tr r="J14" s="6"/>
        <tr r="J12" s="9"/>
        <tr r="J50" s="10"/>
        <tr r="J11" s="4"/>
        <tr r="J48" s="11"/>
        <tr r="J48" s="8"/>
        <tr r="J49" s="10"/>
        <tr r="J48" s="7"/>
        <tr r="J11" s="9"/>
        <tr r="J47" s="6"/>
        <tr r="J48" s="9"/>
        <tr r="J11" s="11"/>
        <tr r="J14" s="10"/>
        <tr r="J47" s="11"/>
        <tr r="J13" s="6"/>
        <tr r="J12" s="11"/>
        <tr r="J13" s="8"/>
        <tr r="J12" s="5"/>
        <tr r="J48" s="5"/>
        <tr r="J48" s="4"/>
        <tr r="J46" s="6"/>
        <tr r="J13" s="10"/>
        <tr r="J47" s="4"/>
        <tr r="J12" s="8"/>
        <tr r="J47" s="7"/>
        <tr r="J12" s="6"/>
        <tr r="J10" s="9"/>
        <tr r="J47" s="8"/>
        <tr r="J47" s="9"/>
        <tr r="J46" s="7"/>
        <tr r="J10" s="7"/>
        <tr r="J47" s="5"/>
        <tr r="J11" s="5"/>
        <tr r="J48" s="10"/>
        <tr r="J10" s="4"/>
        <tr r="J46" s="9"/>
        <tr r="J10" s="11"/>
        <tr r="J12" s="10"/>
        <tr r="J11" s="6"/>
        <tr r="J46" s="4"/>
        <tr r="J47" s="10"/>
        <tr r="J45" s="6"/>
        <tr r="J10" s="5"/>
        <tr r="J46" s="5"/>
        <tr r="J9" s="4"/>
        <tr r="J46" s="8"/>
        <tr r="J11" s="8"/>
        <tr r="J9" s="9"/>
        <tr r="J9" s="7"/>
        <tr r="J46" s="11"/>
        <tr r="J45" s="4"/>
        <tr r="J9" s="11"/>
        <tr r="J8" s="7"/>
        <tr r="J45" s="11"/>
        <tr r="J45" s="5"/>
        <tr r="J45" s="8"/>
        <tr r="J45" s="7"/>
        <tr r="J45" s="9"/>
        <tr r="J10" s="6"/>
        <tr r="J11" s="10"/>
        <tr r="J44" s="6"/>
        <tr r="J9" s="5"/>
        <tr r="J10" s="8"/>
        <tr r="J8" s="4"/>
        <tr r="J46" s="10"/>
        <tr r="J45" s="10"/>
        <tr r="J8" s="9"/>
        <tr r="J8" s="5"/>
        <tr r="J44" s="9"/>
        <tr r="J10" s="10"/>
        <tr r="J7" s="4"/>
        <tr r="J43" s="6"/>
        <tr r="J7" s="7"/>
        <tr r="J9" s="8"/>
        <tr r="J44" s="7"/>
        <tr r="J9" s="6"/>
        <tr r="J44" s="4"/>
        <tr r="J44" s="11"/>
        <tr r="J44" s="5"/>
        <tr r="J44" s="8"/>
        <tr r="J8" s="11"/>
        <tr r="J7" s="9"/>
        <tr r="J43" s="8"/>
        <tr r="J42" s="6"/>
        <tr r="J8" s="6"/>
        <tr r="J9" s="10"/>
        <tr r="J6" s="9"/>
        <tr r="J44" s="10"/>
        <tr r="J7" s="5"/>
        <tr r="J43" s="7"/>
        <tr r="J6" s="4"/>
        <tr r="J8" s="10"/>
        <tr r="J43" s="11"/>
        <tr r="J7" s="11"/>
        <tr r="J43" s="9"/>
        <tr r="J8" s="8"/>
        <tr r="J6" s="7"/>
        <tr r="J43" s="4"/>
        <tr r="J43" s="5"/>
        <tr r="J5" s="4"/>
        <tr r="J42" s="8"/>
        <tr r="J42" s="4"/>
        <tr r="J7" s="6"/>
        <tr r="J5" s="9"/>
        <tr r="J42" s="7"/>
        <tr r="J6" s="11"/>
        <tr r="J43" s="10"/>
        <tr r="J41" s="6"/>
        <tr r="J7" s="8"/>
        <tr r="J42" s="11"/>
        <tr r="J42" s="9"/>
        <tr r="J6" s="5"/>
        <tr r="J5" s="11"/>
        <tr r="J5" s="7"/>
        <tr r="J4" s="5"/>
        <tr r="J42" s="5"/>
        <tr r="J5" s="8"/>
        <tr r="J6" s="6"/>
        <tr r="J38" s="10"/>
        <tr r="J40" s="4"/>
        <tr r="J4" s="4"/>
        <tr r="J41" s="10"/>
        <tr r="J42" s="10"/>
        <tr r="J41" s="7"/>
        <tr r="J2" s="7"/>
        <tr r="J2" s="11"/>
        <tr r="J3" s="9"/>
        <tr r="J2" s="5"/>
        <tr r="J2" s="9"/>
        <tr r="J5" s="10"/>
        <tr r="J4" s="6"/>
        <tr r="J40" s="11"/>
        <tr r="J38" s="5"/>
        <tr r="J40" s="5"/>
        <tr r="J3" s="10"/>
        <tr r="J41" s="11"/>
        <tr r="J7" s="10"/>
        <tr r="J2" s="10"/>
        <tr r="J3" s="4"/>
        <tr r="J41" s="4"/>
        <tr r="J41" s="9"/>
        <tr r="J40" s="10"/>
        <tr r="J39" s="5"/>
        <tr r="J3" s="7"/>
        <tr r="J6" s="8"/>
        <tr r="J40" s="6"/>
        <tr r="J41" s="8"/>
        <tr r="J4" s="10"/>
        <tr r="J38" s="6"/>
        <tr r="J39" s="6"/>
        <tr r="J2" s="4"/>
        <tr r="J4" s="11"/>
        <tr r="J38" s="11"/>
        <tr r="J3" s="6"/>
        <tr r="J3" s="5"/>
        <tr r="J3" s="8"/>
        <tr r="J39" s="7"/>
        <tr r="J38" s="9"/>
        <tr r="J4" s="9"/>
        <tr r="J39" s="4"/>
        <tr r="J2" s="8"/>
        <tr r="J4" s="7"/>
        <tr r="J39" s="9"/>
        <tr r="J5" s="5"/>
        <tr r="J39" s="11"/>
        <tr r="J3" s="11"/>
        <tr r="J40" s="9"/>
        <tr r="J38" s="7"/>
        <tr r="J5" s="6"/>
        <tr r="J41" s="5"/>
        <tr r="J40" s="8"/>
        <tr r="J2" s="6"/>
        <tr r="J38" s="8"/>
        <tr r="J4" s="8"/>
        <tr r="J40" s="7"/>
        <tr r="J39" s="8"/>
        <tr r="J6" s="10"/>
        <tr r="J39" s="10"/>
        <tr r="J38" s="4"/>
        <tr r="H11" s="13"/>
        <tr r="H8" s="13"/>
        <tr r="H5" s="13"/>
        <tr r="H10" s="13"/>
        <tr r="H4" s="13"/>
        <tr r="H2" s="13"/>
        <tr r="H3" s="13"/>
        <tr r="H9" s="13"/>
        <tr r="H12" s="13"/>
        <tr r="H7" s="13"/>
        <tr r="H6" s="13"/>
      </tp>
      <tp t="s">
        <v/>
        <stp/>
        <stp>Market</stp>
        <stp>FOP</stp>
        <stp>マーケットスピード II にログインして「接続中」の状態に変更してから利用してください。</stp>
        <stp>最良売気配値1</stp>
        <tr r="I37" s="7"/>
        <tr r="I37" s="4"/>
        <tr r="I36" s="4"/>
        <tr r="I36" s="9"/>
        <tr r="I37" s="9"/>
        <tr r="I36" s="7"/>
        <tr r="I35" s="9"/>
        <tr r="I37" s="5"/>
        <tr r="I35" s="7"/>
        <tr r="I35" s="4"/>
        <tr r="I35" s="5"/>
        <tr r="I36" s="11"/>
        <tr r="I37" s="11"/>
        <tr r="I36" s="5"/>
        <tr r="I34" s="7"/>
        <tr r="I36" s="6"/>
        <tr r="I33" s="9"/>
        <tr r="I35" s="11"/>
        <tr r="I36" s="8"/>
        <tr r="I37" s="8"/>
        <tr r="I34" s="9"/>
        <tr r="I37" s="6"/>
        <tr r="I34" s="4"/>
        <tr r="I35" s="6"/>
        <tr r="I34" s="5"/>
        <tr r="I37" s="10"/>
        <tr r="I33" s="4"/>
        <tr r="I35" s="8"/>
        <tr r="I34" s="11"/>
        <tr r="I33" s="7"/>
        <tr r="I36" s="10"/>
        <tr r="I33" s="11"/>
        <tr r="I32" s="9"/>
        <tr r="I32" s="7"/>
        <tr r="I32" s="4"/>
        <tr r="I35" s="10"/>
        <tr r="I34" s="8"/>
        <tr r="I31" s="4"/>
        <tr r="I34" s="6"/>
        <tr r="I32" s="5"/>
        <tr r="I33" s="5"/>
        <tr r="I67" s="6"/>
        <tr r="I32" s="11"/>
        <tr r="I31" s="7"/>
        <tr r="I31" s="9"/>
        <tr r="I34" s="10"/>
        <tr r="I33" s="6"/>
        <tr r="I33" s="8"/>
        <tr r="I68" s="11"/>
        <tr r="I68" s="6"/>
        <tr r="I67" s="4"/>
        <tr r="I31" s="5"/>
        <tr r="I67" s="8"/>
        <tr r="I31" s="11"/>
        <tr r="I30" s="7"/>
        <tr r="I67" s="9"/>
        <tr r="I32" s="6"/>
        <tr r="I33" s="10"/>
        <tr r="I32" s="8"/>
        <tr r="I30" s="9"/>
        <tr r="I68" s="7"/>
        <tr r="I67" s="11"/>
        <tr r="I68" s="9"/>
        <tr r="I67" s="7"/>
        <tr r="I68" s="8"/>
        <tr r="I67" s="5"/>
        <tr r="I68" s="5"/>
        <tr r="I66" s="6"/>
        <tr r="I66" s="5"/>
        <tr r="I68" s="4"/>
        <tr r="I30" s="4"/>
        <tr r="I29" s="9"/>
        <tr r="I68" s="10"/>
        <tr r="I66" s="11"/>
        <tr r="I29" s="7"/>
        <tr r="I66" s="8"/>
        <tr r="I31" s="6"/>
        <tr r="I65" s="6"/>
        <tr r="I29" s="4"/>
        <tr r="I32" s="10"/>
        <tr r="I30" s="11"/>
        <tr r="I30" s="5"/>
        <tr r="I31" s="8"/>
        <tr r="I66" s="7"/>
        <tr r="I66" s="9"/>
        <tr r="I67" s="10"/>
        <tr r="I31" s="10"/>
        <tr r="I65" s="11"/>
        <tr r="I66" s="4"/>
        <tr r="I65" s="8"/>
        <tr r="I29" s="11"/>
        <tr r="I30" s="8"/>
        <tr r="I66" s="10"/>
        <tr r="I28" s="7"/>
        <tr r="I65" s="9"/>
        <tr r="I30" s="6"/>
        <tr r="I65" s="5"/>
        <tr r="I64" s="6"/>
        <tr r="I28" s="9"/>
        <tr r="I65" s="4"/>
        <tr r="I28" s="4"/>
        <tr r="I65" s="10"/>
        <tr r="I65" s="7"/>
        <tr r="I29" s="5"/>
        <tr r="I64" s="4"/>
        <tr r="I27" s="7"/>
        <tr r="I28" s="11"/>
        <tr r="I63" s="6"/>
        <tr r="I29" s="8"/>
        <tr r="I64" s="5"/>
        <tr r="I30" s="10"/>
        <tr r="I27" s="4"/>
        <tr r="I64" s="9"/>
        <tr r="I64" s="11"/>
        <tr r="I29" s="6"/>
        <tr r="I64" s="8"/>
        <tr r="I28" s="5"/>
        <tr r="I64" s="7"/>
        <tr r="I27" s="9"/>
        <tr r="I63" s="5"/>
        <tr r="I26" s="9"/>
        <tr r="I63" s="4"/>
        <tr r="I28" s="6"/>
        <tr r="I28" s="8"/>
        <tr r="I63" s="7"/>
        <tr r="I64" s="10"/>
        <tr r="I26" s="7"/>
        <tr r="I26" s="4"/>
        <tr r="I29" s="10"/>
        <tr r="I27" s="5"/>
        <tr r="I63" s="11"/>
        <tr r="I62" s="8"/>
        <tr r="I63" s="8"/>
        <tr r="I63" s="9"/>
        <tr r="I27" s="11"/>
        <tr r="I62" s="6"/>
        <tr r="I27" s="8"/>
        <tr r="I62" s="4"/>
        <tr r="I62" s="11"/>
        <tr r="I62" s="9"/>
        <tr r="I62" s="7"/>
        <tr r="I63" s="10"/>
        <tr r="I26" s="5"/>
        <tr r="I26" s="11"/>
        <tr r="I25" s="9"/>
        <tr r="I62" s="5"/>
        <tr r="I28" s="10"/>
        <tr r="I25" s="7"/>
        <tr r="I61" s="6"/>
        <tr r="I27" s="6"/>
        <tr r="I25" s="4"/>
        <tr r="I61" s="11"/>
        <tr r="I61" s="9"/>
        <tr r="I26" s="8"/>
        <tr r="I24" s="4"/>
        <tr r="I24" s="7"/>
        <tr r="I62" s="10"/>
        <tr r="I61" s="7"/>
        <tr r="I61" s="8"/>
        <tr r="I61" s="4"/>
        <tr r="I26" s="6"/>
        <tr r="I61" s="5"/>
        <tr r="I24" s="9"/>
        <tr r="I59" s="6"/>
        <tr r="I24" s="11"/>
        <tr r="I27" s="10"/>
        <tr r="I25" s="11"/>
        <tr r="I25" s="5"/>
        <tr r="I60" s="6"/>
        <tr r="I60" s="8"/>
        <tr r="I26" s="10"/>
        <tr r="I61" s="10"/>
        <tr r="I23" s="9"/>
        <tr r="I24" s="5"/>
        <tr r="I23" s="7"/>
        <tr r="I25" s="6"/>
        <tr r="I25" s="8"/>
        <tr r="I60" s="11"/>
        <tr r="I23" s="4"/>
        <tr r="I60" s="7"/>
        <tr r="I60" s="4"/>
        <tr r="I60" s="9"/>
        <tr r="I60" s="5"/>
        <tr r="I24" s="6"/>
        <tr r="I59" s="11"/>
        <tr r="I25" s="10"/>
        <tr r="I59" s="4"/>
        <tr r="I59" s="5"/>
        <tr r="I59" s="7"/>
        <tr r="I24" s="8"/>
        <tr r="I59" s="8"/>
        <tr r="I60" s="10"/>
        <tr r="I58" s="6"/>
        <tr r="I59" s="9"/>
        <tr r="I23" s="11"/>
        <tr r="I22" s="9"/>
        <tr r="I22" s="7"/>
        <tr r="I23" s="5"/>
        <tr r="I22" s="4"/>
        <tr r="I24" s="10"/>
        <tr r="I58" s="8"/>
        <tr r="I58" s="5"/>
        <tr r="I21" s="7"/>
        <tr r="I21" s="4"/>
        <tr r="I58" s="4"/>
        <tr r="I58" s="9"/>
        <tr r="I57" s="6"/>
        <tr r="I21" s="9"/>
        <tr r="I22" s="5"/>
        <tr r="I59" s="10"/>
        <tr r="I23" s="6"/>
        <tr r="I58" s="7"/>
        <tr r="I58" s="11"/>
        <tr r="I23" s="8"/>
        <tr r="I22" s="11"/>
        <tr r="I22" s="8"/>
        <tr r="I57" s="4"/>
        <tr r="I56" s="6"/>
        <tr r="I21" s="5"/>
        <tr r="I58" s="10"/>
        <tr r="I20" s="7"/>
        <tr r="I57" s="8"/>
        <tr r="I57" s="11"/>
        <tr r="I21" s="11"/>
        <tr r="I57" s="7"/>
        <tr r="I20" s="4"/>
        <tr r="I23" s="10"/>
        <tr r="I22" s="6"/>
        <tr r="I57" s="9"/>
        <tr r="I57" s="5"/>
        <tr r="I20" s="9"/>
        <tr r="I21" s="6"/>
        <tr r="I56" s="5"/>
        <tr r="I56" s="4"/>
        <tr r="I20" s="5"/>
        <tr r="I21" s="8"/>
        <tr r="I22" s="10"/>
        <tr r="I56" s="8"/>
        <tr r="I56" s="9"/>
        <tr r="I19" s="9"/>
        <tr r="I57" s="10"/>
        <tr r="I55" s="6"/>
        <tr r="I19" s="4"/>
        <tr r="I56" s="7"/>
        <tr r="I56" s="11"/>
        <tr r="I19" s="7"/>
        <tr r="I20" s="11"/>
        <tr r="I20" s="6"/>
        <tr r="I54" s="6"/>
        <tr r="I55" s="4"/>
        <tr r="I20" s="8"/>
        <tr r="I18" s="4"/>
        <tr r="I18" s="9"/>
        <tr r="I55" s="9"/>
        <tr r="I55" s="5"/>
        <tr r="I56" s="10"/>
        <tr r="I55" s="11"/>
        <tr r="I19" s="5"/>
        <tr r="I55" s="8"/>
        <tr r="I19" s="11"/>
        <tr r="I21" s="10"/>
        <tr r="I55" s="7"/>
        <tr r="I18" s="7"/>
        <tr r="I54" s="9"/>
        <tr r="I20" s="10"/>
        <tr r="I54" s="11"/>
        <tr r="I17" s="7"/>
        <tr r="I54" s="5"/>
        <tr r="I18" s="11"/>
        <tr r="I55" s="10"/>
        <tr r="I19" s="8"/>
        <tr r="I17" s="4"/>
        <tr r="I54" s="4"/>
        <tr r="I17" s="9"/>
        <tr r="I18" s="5"/>
        <tr r="I54" s="8"/>
        <tr r="I53" s="6"/>
        <tr r="I19" s="6"/>
        <tr r="I54" s="7"/>
        <tr r="I53" s="7"/>
        <tr r="I19" s="10"/>
        <tr r="I16" s="9"/>
        <tr r="I17" s="11"/>
        <tr r="I53" s="11"/>
        <tr r="I54" s="10"/>
        <tr r="I53" s="5"/>
        <tr r="I53" s="8"/>
        <tr r="I52" s="6"/>
        <tr r="I16" s="4"/>
        <tr r="I16" s="7"/>
        <tr r="I53" s="4"/>
        <tr r="I18" s="8"/>
        <tr r="I53" s="10"/>
        <tr r="I53" s="9"/>
        <tr r="I17" s="5"/>
        <tr r="I18" s="6"/>
        <tr r="I52" s="5"/>
        <tr r="I18" s="10"/>
        <tr r="I15" s="9"/>
        <tr r="I52" s="4"/>
        <tr r="I52" s="9"/>
        <tr r="I52" s="8"/>
        <tr r="I15" s="7"/>
        <tr r="I52" s="7"/>
        <tr r="I17" s="8"/>
        <tr r="I17" s="6"/>
        <tr r="I51" s="6"/>
        <tr r="I16" s="5"/>
        <tr r="I52" s="11"/>
        <tr r="I16" s="11"/>
        <tr r="I15" s="4"/>
        <tr r="I50" s="6"/>
        <tr r="I51" s="11"/>
        <tr r="I16" s="8"/>
        <tr r="I51" s="9"/>
        <tr r="I14" s="9"/>
        <tr r="I14" s="4"/>
        <tr r="I52" s="10"/>
        <tr r="I15" s="11"/>
        <tr r="I17" s="10"/>
        <tr r="I51" s="8"/>
        <tr r="I51" s="5"/>
        <tr r="I16" s="6"/>
        <tr r="I51" s="7"/>
        <tr r="I15" s="5"/>
        <tr r="I14" s="7"/>
        <tr r="I51" s="4"/>
        <tr r="I13" s="7"/>
        <tr r="I13" s="9"/>
        <tr r="I50" s="7"/>
        <tr r="I16" s="10"/>
        <tr r="I50" s="9"/>
        <tr r="I51" s="10"/>
        <tr r="I13" s="4"/>
        <tr r="I50" s="4"/>
        <tr r="I14" s="5"/>
        <tr r="I15" s="6"/>
        <tr r="I50" s="8"/>
        <tr r="I15" s="8"/>
        <tr r="I49" s="6"/>
        <tr r="I50" s="5"/>
        <tr r="I14" s="11"/>
        <tr r="I50" s="11"/>
        <tr r="I12" s="4"/>
        <tr r="I49" s="4"/>
        <tr r="I48" s="6"/>
        <tr r="I49" s="5"/>
        <tr r="I49" s="9"/>
        <tr r="I49" s="8"/>
        <tr r="I50" s="10"/>
        <tr r="I15" s="10"/>
        <tr r="I12" s="7"/>
        <tr r="I13" s="5"/>
        <tr r="I13" s="11"/>
        <tr r="I14" s="6"/>
        <tr r="I49" s="7"/>
        <tr r="I14" s="8"/>
        <tr r="I49" s="11"/>
        <tr r="I12" s="9"/>
        <tr r="I11" s="4"/>
        <tr r="I48" s="7"/>
        <tr r="I48" s="11"/>
        <tr r="I12" s="11"/>
        <tr r="I11" s="9"/>
        <tr r="I48" s="5"/>
        <tr r="I10" s="9"/>
        <tr r="I11" s="7"/>
        <tr r="I48" s="4"/>
        <tr r="I47" s="6"/>
        <tr r="I14" s="10"/>
        <tr r="I48" s="8"/>
        <tr r="I49" s="10"/>
        <tr r="I13" s="8"/>
        <tr r="I47" s="9"/>
        <tr r="I12" s="5"/>
        <tr r="I13" s="6"/>
        <tr r="I48" s="9"/>
        <tr r="I46" s="6"/>
        <tr r="I13" s="10"/>
        <tr r="I47" s="8"/>
        <tr r="I47" s="4"/>
        <tr r="I12" s="8"/>
        <tr r="I48" s="10"/>
        <tr r="I46" s="11"/>
        <tr r="I11" s="5"/>
        <tr r="I47" s="5"/>
        <tr r="I11" s="11"/>
        <tr r="I46" s="9"/>
        <tr r="I47" s="11"/>
        <tr r="I47" s="7"/>
        <tr r="I10" s="7"/>
        <tr r="I12" s="6"/>
        <tr r="I10" s="4"/>
        <tr r="I10" s="11"/>
        <tr r="I12" s="10"/>
        <tr r="I11" s="6"/>
        <tr r="I46" s="4"/>
        <tr r="I47" s="10"/>
        <tr r="I46" s="7"/>
        <tr r="I11" s="8"/>
        <tr r="I45" s="6"/>
        <tr r="I9" s="4"/>
        <tr r="I46" s="8"/>
        <tr r="I46" s="5"/>
        <tr r="I9" s="7"/>
        <tr r="I9" s="11"/>
        <tr r="I10" s="5"/>
        <tr r="I9" s="9"/>
        <tr r="I45" s="4"/>
        <tr r="I8" s="7"/>
        <tr r="I45" s="11"/>
        <tr r="I45" s="8"/>
        <tr r="I45" s="9"/>
        <tr r="I8" s="9"/>
        <tr r="I11" s="10"/>
        <tr r="I45" s="5"/>
        <tr r="I46" s="10"/>
        <tr r="I44" s="6"/>
        <tr r="I45" s="7"/>
        <tr r="I10" s="6"/>
        <tr r="I8" s="4"/>
        <tr r="I10" s="8"/>
        <tr r="I9" s="5"/>
        <tr r="I44" s="8"/>
        <tr r="I8" s="5"/>
        <tr r="I44" s="9"/>
        <tr r="I10" s="10"/>
        <tr r="I7" s="4"/>
        <tr r="I43" s="6"/>
        <tr r="I7" s="7"/>
        <tr r="I8" s="11"/>
        <tr r="I9" s="8"/>
        <tr r="I44" s="4"/>
        <tr r="I45" s="10"/>
        <tr r="I44" s="11"/>
        <tr r="I44" s="7"/>
        <tr r="I7" s="9"/>
        <tr r="I9" s="6"/>
        <tr r="I44" s="5"/>
        <tr r="I43" s="8"/>
        <tr r="I42" s="6"/>
        <tr r="I9" s="10"/>
        <tr r="I8" s="8"/>
        <tr r="I43" s="9"/>
        <tr r="I8" s="6"/>
        <tr r="I43" s="5"/>
        <tr r="I7" s="5"/>
        <tr r="I6" s="7"/>
        <tr r="I43" s="11"/>
        <tr r="I6" s="9"/>
        <tr r="I7" s="11"/>
        <tr r="I44" s="10"/>
        <tr r="I6" s="4"/>
        <tr r="I43" s="4"/>
        <tr r="I43" s="7"/>
        <tr r="I5" s="4"/>
        <tr r="I8" s="10"/>
        <tr r="I7" s="6"/>
        <tr r="I5" s="9"/>
        <tr r="I42" s="7"/>
        <tr r="I6" s="11"/>
        <tr r="I43" s="10"/>
        <tr r="I42" s="8"/>
        <tr r="I41" s="6"/>
        <tr r="I40" s="9"/>
        <tr r="I5" s="7"/>
        <tr r="I42" s="4"/>
        <tr r="I7" s="8"/>
        <tr r="I42" s="9"/>
        <tr r="I42" s="5"/>
        <tr r="I39" s="11"/>
        <tr r="I42" s="11"/>
        <tr r="I6" s="5"/>
        <tr r="I6" s="6"/>
        <tr r="I38" s="10"/>
        <tr r="I40" s="4"/>
        <tr r="I41" s="10"/>
        <tr r="I41" s="9"/>
        <tr r="I42" s="10"/>
        <tr r="I41" s="7"/>
        <tr r="I2" s="7"/>
        <tr r="I2" s="11"/>
        <tr r="I3" s="9"/>
        <tr r="I2" s="9"/>
        <tr r="I2" s="8"/>
        <tr r="I41" s="4"/>
        <tr r="I38" s="6"/>
        <tr r="I39" s="4"/>
        <tr r="I4" s="10"/>
        <tr r="I4" s="6"/>
        <tr r="I3" s="6"/>
        <tr r="I40" s="6"/>
        <tr r="I38" s="11"/>
        <tr r="I39" s="7"/>
        <tr r="I5" s="6"/>
        <tr r="I2" s="6"/>
        <tr r="I40" s="5"/>
        <tr r="I6" s="10"/>
        <tr r="I2" s="4"/>
        <tr r="I7" s="10"/>
        <tr r="I3" s="4"/>
        <tr r="I39" s="8"/>
        <tr r="I3" s="5"/>
        <tr r="I39" s="5"/>
        <tr r="I4" s="7"/>
        <tr r="I4" s="8"/>
        <tr r="I4" s="4"/>
        <tr r="I41" s="11"/>
        <tr r="I3" s="8"/>
        <tr r="I2" s="5"/>
        <tr r="I4" s="9"/>
        <tr r="I5" s="8"/>
        <tr r="I40" s="7"/>
        <tr r="I3" s="10"/>
        <tr r="I40" s="11"/>
        <tr r="I39" s="9"/>
        <tr r="I5" s="10"/>
        <tr r="I4" s="11"/>
        <tr r="I41" s="5"/>
        <tr r="I4" s="5"/>
        <tr r="I38" s="5"/>
        <tr r="I38" s="4"/>
        <tr r="I40" s="8"/>
        <tr r="I2" s="10"/>
        <tr r="I39" s="6"/>
        <tr r="I5" s="11"/>
        <tr r="I39" s="10"/>
        <tr r="I6" s="8"/>
        <tr r="I5" s="5"/>
        <tr r="I38" s="9"/>
        <tr r="I3" s="11"/>
        <tr r="I40" s="10"/>
        <tr r="I38" s="8"/>
        <tr r="I38" s="7"/>
        <tr r="I41" s="8"/>
        <tr r="I3" s="7"/>
        <tr r="G8" s="13"/>
        <tr r="G11" s="13"/>
        <tr r="G5" s="13"/>
        <tr r="G10" s="13"/>
        <tr r="G3" s="13"/>
        <tr r="G4" s="13"/>
        <tr r="G2" s="13"/>
        <tr r="G6" s="13"/>
        <tr r="G12" s="13"/>
        <tr r="G9" s="13"/>
        <tr r="G7" s="13"/>
      </tp>
      <tp t="s">
        <v/>
        <stp/>
        <stp>Market</stp>
        <stp>FOP</stp>
        <stp>マーケットスピード II にログインして「接続中」の状態に変更してから利用してください。</stp>
        <stp>セータ</stp>
        <tr r="O37" s="7"/>
        <tr r="O37" s="4"/>
        <tr r="O36" s="9"/>
        <tr r="O37" s="9"/>
        <tr r="O36" s="4"/>
        <tr r="O36" s="7"/>
        <tr r="O37" s="5"/>
        <tr r="O35" s="9"/>
        <tr r="O37" s="11"/>
        <tr r="O35" s="4"/>
        <tr r="O35" s="7"/>
        <tr r="O36" s="11"/>
        <tr r="O36" s="5"/>
        <tr r="O35" s="5"/>
        <tr r="O34" s="7"/>
        <tr r="O36" s="8"/>
        <tr r="O34" s="4"/>
        <tr r="O37" s="6"/>
        <tr r="O36" s="6"/>
        <tr r="O37" s="8"/>
        <tr r="O34" s="9"/>
        <tr r="O35" s="11"/>
        <tr r="O33" s="4"/>
        <tr r="O33" s="9"/>
        <tr r="O35" s="6"/>
        <tr r="O37" s="10"/>
        <tr r="O34" s="5"/>
        <tr r="O35" s="8"/>
        <tr r="O32" s="7"/>
        <tr r="O34" s="11"/>
        <tr r="O33" s="7"/>
        <tr r="O36" s="10"/>
        <tr r="O33" s="11"/>
        <tr r="O32" s="4"/>
        <tr r="O35" s="10"/>
        <tr r="O33" s="5"/>
        <tr r="O32" s="9"/>
        <tr r="O34" s="6"/>
        <tr r="O34" s="8"/>
        <tr r="O32" s="11"/>
        <tr r="O31" s="4"/>
        <tr r="O31" s="7"/>
        <tr r="O31" s="9"/>
        <tr r="O34" s="10"/>
        <tr r="O33" s="6"/>
        <tr r="O33" s="8"/>
        <tr r="O32" s="5"/>
        <tr r="O33" s="10"/>
        <tr r="O67" s="6"/>
        <tr r="O68" s="6"/>
        <tr r="O30" s="4"/>
        <tr r="O67" s="8"/>
        <tr r="O31" s="11"/>
        <tr r="O67" s="4"/>
        <tr r="O68" s="11"/>
        <tr r="O30" s="7"/>
        <tr r="O67" s="9"/>
        <tr r="O32" s="6"/>
        <tr r="O67" s="7"/>
        <tr r="O32" s="8"/>
        <tr r="O68" s="4"/>
        <tr r="O31" s="5"/>
        <tr r="O67" s="11"/>
        <tr r="O68" s="9"/>
        <tr r="O67" s="5"/>
        <tr r="O66" s="6"/>
        <tr r="O68" s="7"/>
        <tr r="O68" s="8"/>
        <tr r="O30" s="9"/>
        <tr r="O68" s="5"/>
        <tr r="O29" s="9"/>
        <tr r="O68" s="10"/>
        <tr r="O66" s="11"/>
        <tr r="O66" s="9"/>
        <tr r="O66" s="8"/>
        <tr r="O31" s="6"/>
        <tr r="O65" s="6"/>
        <tr r="O66" s="7"/>
        <tr r="O67" s="10"/>
        <tr r="O31" s="8"/>
        <tr r="O66" s="4"/>
        <tr r="O66" s="5"/>
        <tr r="O29" s="7"/>
        <tr r="O30" s="11"/>
        <tr r="O32" s="10"/>
        <tr r="O65" s="7"/>
        <tr r="O30" s="5"/>
        <tr r="O30" s="8"/>
        <tr r="O29" s="4"/>
        <tr r="O29" s="11"/>
        <tr r="O66" s="10"/>
        <tr r="O65" s="9"/>
        <tr r="O65" s="5"/>
        <tr r="O65" s="4"/>
        <tr r="O28" s="9"/>
        <tr r="O29" s="5"/>
        <tr r="O30" s="6"/>
        <tr r="O28" s="7"/>
        <tr r="O65" s="11"/>
        <tr r="O65" s="10"/>
        <tr r="O28" s="4"/>
        <tr r="O64" s="5"/>
        <tr r="O64" s="6"/>
        <tr r="O31" s="10"/>
        <tr r="O65" s="8"/>
        <tr r="O27" s="7"/>
        <tr r="O64" s="4"/>
        <tr r="O28" s="11"/>
        <tr r="O63" s="6"/>
        <tr r="O64" s="11"/>
        <tr r="O64" s="8"/>
        <tr r="O30" s="10"/>
        <tr r="O27" s="4"/>
        <tr r="O28" s="5"/>
        <tr r="O29" s="8"/>
        <tr r="O64" s="9"/>
        <tr r="O64" s="7"/>
        <tr r="O29" s="6"/>
        <tr r="O27" s="9"/>
        <tr r="O26" s="9"/>
        <tr r="O63" s="4"/>
        <tr r="O26" s="7"/>
        <tr r="O28" s="6"/>
        <tr r="O26" s="4"/>
        <tr r="O27" s="5"/>
        <tr r="O63" s="7"/>
        <tr r="O63" s="5"/>
        <tr r="O62" s="11"/>
        <tr r="O28" s="8"/>
        <tr r="O63" s="8"/>
        <tr r="O29" s="10"/>
        <tr r="O63" s="9"/>
        <tr r="O27" s="11"/>
        <tr r="O63" s="11"/>
        <tr r="O64" s="10"/>
        <tr r="O62" s="6"/>
        <tr r="O27" s="8"/>
        <tr r="O62" s="8"/>
        <tr r="O62" s="9"/>
        <tr r="O28" s="10"/>
        <tr r="O63" s="10"/>
        <tr r="O62" s="5"/>
        <tr r="O61" s="6"/>
        <tr r="O62" s="4"/>
        <tr r="O62" s="7"/>
        <tr r="O25" s="7"/>
        <tr r="O26" s="5"/>
        <tr r="O25" s="4"/>
        <tr r="O26" s="11"/>
        <tr r="O26" s="8"/>
        <tr r="O27" s="6"/>
        <tr r="O25" s="9"/>
        <tr r="O61" s="9"/>
        <tr r="O26" s="6"/>
        <tr r="O24" s="4"/>
        <tr r="O24" s="7"/>
        <tr r="O62" s="10"/>
        <tr r="O60" s="6"/>
        <tr r="O61" s="4"/>
        <tr r="O24" s="9"/>
        <tr r="O25" s="11"/>
        <tr r="O27" s="10"/>
        <tr r="O60" s="5"/>
        <tr r="O61" s="7"/>
        <tr r="O61" s="11"/>
        <tr r="O61" s="8"/>
        <tr r="O25" s="5"/>
        <tr r="O61" s="5"/>
        <tr r="O24" s="5"/>
        <tr r="O59" s="6"/>
        <tr r="O60" s="8"/>
        <tr r="O26" s="10"/>
        <tr r="O61" s="10"/>
        <tr r="O23" s="9"/>
        <tr r="O24" s="11"/>
        <tr r="O23" s="7"/>
        <tr r="O60" s="11"/>
        <tr r="O25" s="6"/>
        <tr r="O60" s="7"/>
        <tr r="O60" s="4"/>
        <tr r="O23" s="4"/>
        <tr r="O25" s="8"/>
        <tr r="O60" s="9"/>
        <tr r="O59" s="11"/>
        <tr r="O25" s="10"/>
        <tr r="O59" s="4"/>
        <tr r="O59" s="5"/>
        <tr r="O59" s="7"/>
        <tr r="O23" s="11"/>
        <tr r="O59" s="8"/>
        <tr r="O24" s="6"/>
        <tr r="O60" s="10"/>
        <tr r="O58" s="6"/>
        <tr r="O22" s="7"/>
        <tr r="O22" s="4"/>
        <tr r="O24" s="8"/>
        <tr r="O23" s="5"/>
        <tr r="O22" s="9"/>
        <tr r="O59" s="9"/>
        <tr r="O24" s="10"/>
        <tr r="O58" s="8"/>
        <tr r="O23" s="6"/>
        <tr r="O21" s="4"/>
        <tr r="O57" s="6"/>
        <tr r="O21" s="9"/>
        <tr r="O22" s="11"/>
        <tr r="O58" s="7"/>
        <tr r="O21" s="7"/>
        <tr r="O58" s="4"/>
        <tr r="O58" s="5"/>
        <tr r="O58" s="11"/>
        <tr r="O58" s="9"/>
        <tr r="O22" s="5"/>
        <tr r="O20" s="7"/>
        <tr r="O23" s="8"/>
        <tr r="O59" s="10"/>
        <tr r="O22" s="8"/>
        <tr r="O57" s="4"/>
        <tr r="O58" s="10"/>
        <tr r="O20" s="4"/>
        <tr r="O57" s="8"/>
        <tr r="O23" s="10"/>
        <tr r="O56" s="6"/>
        <tr r="O21" s="5"/>
        <tr r="O57" s="9"/>
        <tr r="O20" s="9"/>
        <tr r="O57" s="11"/>
        <tr r="O57" s="5"/>
        <tr r="O22" s="6"/>
        <tr r="O22" s="10"/>
        <tr r="O21" s="11"/>
        <tr r="O57" s="7"/>
        <tr r="O21" s="6"/>
        <tr r="O56" s="5"/>
        <tr r="O56" s="4"/>
        <tr r="O20" s="5"/>
        <tr r="O56" s="11"/>
        <tr r="O21" s="8"/>
        <tr r="O55" s="6"/>
        <tr r="O56" s="9"/>
        <tr r="O19" s="9"/>
        <tr r="O19" s="7"/>
        <tr r="O19" s="4"/>
        <tr r="O56" s="7"/>
        <tr r="O56" s="8"/>
        <tr r="O55" s="4"/>
        <tr r="O20" s="11"/>
        <tr r="O57" s="10"/>
        <tr r="O54" s="6"/>
        <tr r="O55" s="5"/>
        <tr r="O20" s="8"/>
        <tr r="O18" s="4"/>
        <tr r="O18" s="9"/>
        <tr r="O55" s="11"/>
        <tr r="O19" s="11"/>
        <tr r="O20" s="6"/>
        <tr r="O55" s="8"/>
        <tr r="O55" s="7"/>
        <tr r="O55" s="9"/>
        <tr r="O56" s="10"/>
        <tr r="O19" s="5"/>
        <tr r="O21" s="10"/>
        <tr r="O18" s="7"/>
        <tr r="O54" s="9"/>
        <tr r="O20" s="10"/>
        <tr r="O54" s="11"/>
        <tr r="O17" s="7"/>
        <tr r="O54" s="5"/>
        <tr r="O18" s="11"/>
        <tr r="O54" s="7"/>
        <tr r="O53" s="6"/>
        <tr r="O53" s="5"/>
        <tr r="O54" s="4"/>
        <tr r="O19" s="8"/>
        <tr r="O17" s="9"/>
        <tr r="O53" s="8"/>
        <tr r="O18" s="6"/>
        <tr r="O18" s="5"/>
        <tr r="O55" s="10"/>
        <tr r="O17" s="4"/>
        <tr r="O54" s="8"/>
        <tr r="O19" s="6"/>
        <tr r="O53" s="7"/>
        <tr r="O19" s="10"/>
        <tr r="O17" s="11"/>
        <tr r="O53" s="11"/>
        <tr r="O53" s="4"/>
        <tr r="O52" s="6"/>
        <tr r="O16" s="7"/>
        <tr r="O16" s="9"/>
        <tr r="O54" s="10"/>
        <tr r="O18" s="8"/>
        <tr r="O16" s="4"/>
        <tr r="O17" s="5"/>
        <tr r="O53" s="9"/>
        <tr r="O53" s="10"/>
        <tr r="O17" s="6"/>
        <tr r="O15" s="9"/>
        <tr r="O52" s="4"/>
        <tr r="O16" s="11"/>
        <tr r="O52" s="9"/>
        <tr r="O52" s="7"/>
        <tr r="O52" s="5"/>
        <tr r="O15" s="7"/>
        <tr r="O18" s="10"/>
        <tr r="O16" s="5"/>
        <tr r="O15" s="4"/>
        <tr r="O17" s="8"/>
        <tr r="O52" s="11"/>
        <tr r="O51" s="11"/>
        <tr r="O52" s="8"/>
        <tr r="O51" s="6"/>
        <tr r="O50" s="6"/>
        <tr r="O51" s="9"/>
        <tr r="O51" s="7"/>
        <tr r="O15" s="5"/>
        <tr r="O51" s="5"/>
        <tr r="O16" s="8"/>
        <tr r="O17" s="10"/>
        <tr r="O14" s="9"/>
        <tr r="O52" s="10"/>
        <tr r="O14" s="4"/>
        <tr r="O51" s="8"/>
        <tr r="O16" s="6"/>
        <tr r="O51" s="4"/>
        <tr r="O14" s="7"/>
        <tr r="O15" s="11"/>
        <tr r="O50" s="7"/>
        <tr r="O16" s="10"/>
        <tr r="O50" s="9"/>
        <tr r="O51" s="10"/>
        <tr r="O13" s="4"/>
        <tr r="O50" s="4"/>
        <tr r="O14" s="5"/>
        <tr r="O15" s="8"/>
        <tr r="O50" s="8"/>
        <tr r="O13" s="7"/>
        <tr r="O50" s="11"/>
        <tr r="O49" s="6"/>
        <tr r="O13" s="9"/>
        <tr r="O15" s="6"/>
        <tr r="O50" s="5"/>
        <tr r="O14" s="11"/>
        <tr r="O13" s="5"/>
        <tr r="O12" s="4"/>
        <tr r="O49" s="4"/>
        <tr r="O48" s="6"/>
        <tr r="O49" s="5"/>
        <tr r="O15" s="10"/>
        <tr r="O49" s="9"/>
        <tr r="O49" s="8"/>
        <tr r="O14" s="6"/>
        <tr r="O12" s="7"/>
        <tr r="O49" s="7"/>
        <tr r="O14" s="8"/>
        <tr r="O49" s="11"/>
        <tr r="O50" s="10"/>
        <tr r="O13" s="11"/>
        <tr r="O12" s="9"/>
        <tr r="O11" s="4"/>
        <tr r="O48" s="7"/>
        <tr r="O48" s="11"/>
        <tr r="O12" s="11"/>
        <tr r="O13" s="8"/>
        <tr r="O13" s="6"/>
        <tr r="O11" s="7"/>
        <tr r="O49" s="10"/>
        <tr r="O48" s="5"/>
        <tr r="O48" s="9"/>
        <tr r="O47" s="6"/>
        <tr r="O47" s="7"/>
        <tr r="O11" s="9"/>
        <tr r="O48" s="8"/>
        <tr r="O48" s="4"/>
        <tr r="O14" s="10"/>
        <tr r="O12" s="5"/>
        <tr r="O11" s="11"/>
        <tr r="O13" s="10"/>
        <tr r="O47" s="8"/>
        <tr r="O12" s="6"/>
        <tr r="O47" s="5"/>
        <tr r="O46" s="7"/>
        <tr r="O12" s="8"/>
        <tr r="O47" s="4"/>
        <tr r="O46" s="6"/>
        <tr r="O11" s="5"/>
        <tr r="O48" s="10"/>
        <tr r="O47" s="11"/>
        <tr r="O10" s="7"/>
        <tr r="O10" s="9"/>
        <tr r="O47" s="9"/>
        <tr r="O10" s="4"/>
        <tr r="O10" s="11"/>
        <tr r="O12" s="10"/>
        <tr r="O11" s="6"/>
        <tr r="O46" s="4"/>
        <tr r="O47" s="10"/>
        <tr r="O11" s="8"/>
        <tr r="O45" s="6"/>
        <tr r="O9" s="4"/>
        <tr r="O10" s="5"/>
        <tr r="O46" s="5"/>
        <tr r="O46" s="9"/>
        <tr r="O9" s="7"/>
        <tr r="O45" s="4"/>
        <tr r="O10" s="6"/>
        <tr r="O46" s="8"/>
        <tr r="O9" s="9"/>
        <tr r="O9" s="11"/>
        <tr r="O46" s="11"/>
        <tr r="O8" s="7"/>
        <tr r="O45" s="11"/>
        <tr r="O45" s="5"/>
        <tr r="O45" s="8"/>
        <tr r="O9" s="5"/>
        <tr r="O44" s="6"/>
        <tr r="O45" s="9"/>
        <tr r="O10" s="8"/>
        <tr r="O45" s="7"/>
        <tr r="O8" s="5"/>
        <tr r="O11" s="10"/>
        <tr r="O8" s="4"/>
        <tr r="O46" s="10"/>
        <tr r="O8" s="9"/>
        <tr r="O44" s="9"/>
        <tr r="O10" s="10"/>
        <tr r="O7" s="4"/>
        <tr r="O43" s="6"/>
        <tr r="O7" s="7"/>
        <tr r="O44" s="11"/>
        <tr r="O8" s="11"/>
        <tr r="O45" s="10"/>
        <tr r="O44" s="8"/>
        <tr r="O44" s="7"/>
        <tr r="O9" s="8"/>
        <tr r="O44" s="4"/>
        <tr r="O7" s="9"/>
        <tr r="O9" s="6"/>
        <tr r="O44" s="5"/>
        <tr r="O43" s="8"/>
        <tr r="O8" s="6"/>
        <tr r="O9" s="10"/>
        <tr r="O7" s="5"/>
        <tr r="O43" s="11"/>
        <tr r="O6" s="9"/>
        <tr r="O42" s="6"/>
        <tr r="O43" s="4"/>
        <tr r="O43" s="9"/>
        <tr r="O8" s="8"/>
        <tr r="O7" s="11"/>
        <tr r="O44" s="10"/>
        <tr r="O6" s="7"/>
        <tr r="O43" s="5"/>
        <tr r="O6" s="4"/>
        <tr r="O43" s="7"/>
        <tr r="O5" s="4"/>
        <tr r="O8" s="10"/>
        <tr r="O42" s="4"/>
        <tr r="O7" s="6"/>
        <tr r="O5" s="9"/>
        <tr r="O42" s="7"/>
        <tr r="O41" s="6"/>
        <tr r="O5" s="7"/>
        <tr r="O42" s="9"/>
        <tr r="O42" s="8"/>
        <tr r="O4" s="8"/>
        <tr r="O7" s="8"/>
        <tr r="O43" s="10"/>
        <tr r="O6" s="11"/>
        <tr r="O39" s="8"/>
        <tr r="O42" s="11"/>
        <tr r="O42" s="5"/>
        <tr r="O6" s="5"/>
        <tr r="O4" s="11"/>
        <tr r="O6" s="6"/>
        <tr r="O38" s="10"/>
        <tr r="O40" s="4"/>
        <tr r="O4" s="4"/>
        <tr r="O41" s="10"/>
        <tr r="O42" s="10"/>
        <tr r="O41" s="7"/>
        <tr r="O2" s="7"/>
        <tr r="O2" s="11"/>
        <tr r="O3" s="9"/>
        <tr r="O3" s="8"/>
        <tr r="O2" s="5"/>
        <tr r="O2" s="8"/>
        <tr r="O41" s="4"/>
        <tr r="O38" s="6"/>
        <tr r="O4" s="10"/>
        <tr r="O40" s="11"/>
        <tr r="O38" s="5"/>
        <tr r="O38" s="11"/>
        <tr r="O40" s="9"/>
        <tr r="O2" s="6"/>
        <tr r="O6" s="10"/>
        <tr r="O2" s="4"/>
        <tr r="O41" s="5"/>
        <tr r="O39" s="5"/>
        <tr r="O5" s="11"/>
        <tr r="O2" s="10"/>
        <tr r="O40" s="7"/>
        <tr r="O41" s="8"/>
        <tr r="O3" s="4"/>
        <tr r="O41" s="9"/>
        <tr r="O40" s="6"/>
        <tr r="O38" s="9"/>
        <tr r="O6" s="8"/>
        <tr r="O4" s="5"/>
        <tr r="O2" s="9"/>
        <tr r="O39" s="4"/>
        <tr r="O40" s="5"/>
        <tr r="O39" s="9"/>
        <tr r="O5" s="10"/>
        <tr r="O38" s="7"/>
        <tr r="O4" s="6"/>
        <tr r="O5" s="6"/>
        <tr r="O3" s="10"/>
        <tr r="O3" s="6"/>
        <tr r="O3" s="5"/>
        <tr r="O39" s="7"/>
        <tr r="O41" s="11"/>
        <tr r="O4" s="7"/>
        <tr r="O39" s="6"/>
        <tr r="O5" s="8"/>
        <tr r="O39" s="10"/>
        <tr r="O3" s="7"/>
        <tr r="O38" s="8"/>
        <tr r="O7" s="10"/>
        <tr r="O40" s="10"/>
        <tr r="O40" s="8"/>
        <tr r="O4" s="9"/>
        <tr r="O5" s="5"/>
        <tr r="O3" s="11"/>
        <tr r="O39" s="11"/>
        <tr r="O38" s="4"/>
      </tp>
    </main>
    <main first="rtdsrv.1aa3a8d4d84048bb976c05eb55ba5a5f">
      <tp t="s">
        <v/>
        <stp/>
        <stp>Market</stp>
        <stp>FOP</stp>
        <stp>マーケットスピード II にログインして「接続中」の状態に変更してから利用してください。</stp>
        <stp>現在値</stp>
        <tr r="G37" s="7"/>
        <tr r="G37" s="4"/>
        <tr r="G37" s="9"/>
        <tr r="G36" s="9"/>
        <tr r="G36" s="7"/>
        <tr r="G36" s="4"/>
        <tr r="G35" s="9"/>
        <tr r="G37" s="5"/>
        <tr r="G35" s="7"/>
        <tr r="G36" s="11"/>
        <tr r="G35" s="4"/>
        <tr r="G36" s="5"/>
        <tr r="G37" s="11"/>
        <tr r="G34" s="7"/>
        <tr r="G35" s="11"/>
        <tr r="G34" s="4"/>
        <tr r="G36" s="6"/>
        <tr r="G37" s="8"/>
        <tr r="G37" s="6"/>
        <tr r="G36" s="8"/>
        <tr r="G34" s="9"/>
        <tr r="G35" s="5"/>
        <tr r="G33" s="4"/>
        <tr r="G35" s="6"/>
        <tr r="G34" s="5"/>
        <tr r="G34" s="11"/>
        <tr r="G36" s="10"/>
        <tr r="G33" s="9"/>
        <tr r="G32" s="4"/>
        <tr r="G37" s="10"/>
        <tr r="G33" s="7"/>
        <tr r="G35" s="8"/>
        <tr r="G33" s="11"/>
        <tr r="G32" s="9"/>
        <tr r="G32" s="7"/>
        <tr r="G35" s="10"/>
        <tr r="G34" s="6"/>
        <tr r="G34" s="8"/>
        <tr r="G33" s="5"/>
        <tr r="G32" s="11"/>
        <tr r="G31" s="4"/>
        <tr r="G34" s="10"/>
        <tr r="G31" s="9"/>
        <tr r="G31" s="7"/>
        <tr r="G33" s="6"/>
        <tr r="G68" s="6"/>
        <tr r="G67" s="6"/>
        <tr r="G67" s="9"/>
        <tr r="G32" s="5"/>
        <tr r="G33" s="8"/>
        <tr r="G67" s="8"/>
        <tr r="G31" s="11"/>
        <tr r="G67" s="4"/>
        <tr r="G68" s="11"/>
        <tr r="G31" s="5"/>
        <tr r="G30" s="7"/>
        <tr r="G32" s="6"/>
        <tr r="G33" s="10"/>
        <tr r="G68" s="4"/>
        <tr r="G68" s="7"/>
        <tr r="G66" s="6"/>
        <tr r="G68" s="8"/>
        <tr r="G29" s="7"/>
        <tr r="G30" s="9"/>
        <tr r="G67" s="7"/>
        <tr r="G30" s="4"/>
        <tr r="G67" s="5"/>
        <tr r="G68" s="9"/>
        <tr r="G67" s="11"/>
        <tr r="G32" s="8"/>
        <tr r="G68" s="5"/>
        <tr r="G29" s="9"/>
        <tr r="G68" s="10"/>
        <tr r="G66" s="11"/>
        <tr r="G66" s="9"/>
        <tr r="G66" s="8"/>
        <tr r="G65" s="6"/>
        <tr r="G31" s="6"/>
        <tr r="G30" s="11"/>
        <tr r="G66" s="5"/>
        <tr r="G32" s="10"/>
        <tr r="G65" s="5"/>
        <tr r="G29" s="4"/>
        <tr r="G31" s="8"/>
        <tr r="G66" s="7"/>
        <tr r="G67" s="10"/>
        <tr r="G30" s="5"/>
        <tr r="G66" s="4"/>
        <tr r="G29" s="11"/>
        <tr r="G30" s="8"/>
        <tr r="G66" s="10"/>
        <tr r="G28" s="7"/>
        <tr r="G65" s="9"/>
        <tr r="G30" s="6"/>
        <tr r="G64" s="6"/>
        <tr r="G28" s="9"/>
        <tr r="G29" s="5"/>
        <tr r="G65" s="11"/>
        <tr r="G65" s="8"/>
        <tr r="G65" s="4"/>
        <tr r="G28" s="4"/>
        <tr r="G65" s="7"/>
        <tr r="G31" s="10"/>
        <tr r="G65" s="10"/>
        <tr r="G27" s="7"/>
        <tr r="G28" s="11"/>
        <tr r="G64" s="11"/>
        <tr r="G29" s="6"/>
        <tr r="G64" s="8"/>
        <tr r="G64" s="5"/>
        <tr r="G30" s="10"/>
        <tr r="G27" s="4"/>
        <tr r="G28" s="5"/>
        <tr r="G63" s="6"/>
        <tr r="G64" s="4"/>
        <tr r="G64" s="7"/>
        <tr r="G29" s="8"/>
        <tr r="G64" s="9"/>
        <tr r="G27" s="9"/>
        <tr r="G26" s="9"/>
        <tr r="G26" s="7"/>
        <tr r="G28" s="6"/>
        <tr r="G63" s="5"/>
        <tr r="G28" s="8"/>
        <tr r="G64" s="10"/>
        <tr r="G63" s="11"/>
        <tr r="G63" s="4"/>
        <tr r="G63" s="9"/>
        <tr r="G26" s="4"/>
        <tr r="G63" s="7"/>
        <tr r="G63" s="8"/>
        <tr r="G29" s="10"/>
        <tr r="G27" s="5"/>
        <tr r="G62" s="6"/>
        <tr r="G27" s="11"/>
        <tr r="G27" s="8"/>
        <tr r="G62" s="4"/>
        <tr r="G62" s="11"/>
        <tr r="G62" s="9"/>
        <tr r="G62" s="7"/>
        <tr r="G25" s="7"/>
        <tr r="G28" s="10"/>
        <tr r="G62" s="8"/>
        <tr r="G61" s="6"/>
        <tr r="G27" s="6"/>
        <tr r="G63" s="10"/>
        <tr r="G25" s="4"/>
        <tr r="G26" s="11"/>
        <tr r="G62" s="5"/>
        <tr r="G26" s="5"/>
        <tr r="G25" s="9"/>
        <tr r="G61" s="4"/>
        <tr r="G61" s="9"/>
        <tr r="G26" s="8"/>
        <tr r="G24" s="4"/>
        <tr r="G24" s="7"/>
        <tr r="G62" s="10"/>
        <tr r="G61" s="7"/>
        <tr r="G25" s="8"/>
        <tr r="G26" s="6"/>
        <tr r="G24" s="9"/>
        <tr r="G25" s="11"/>
        <tr r="G60" s="6"/>
        <tr r="G25" s="5"/>
        <tr r="G61" s="11"/>
        <tr r="G27" s="10"/>
        <tr r="G61" s="8"/>
        <tr r="G26" s="10"/>
        <tr r="G61" s="5"/>
        <tr r="G59" s="6"/>
        <tr r="G60" s="8"/>
        <tr r="G61" s="10"/>
        <tr r="G23" s="9"/>
        <tr r="G24" s="11"/>
        <tr r="G24" s="5"/>
        <tr r="G23" s="7"/>
        <tr r="G60" s="11"/>
        <tr r="G25" s="6"/>
        <tr r="G60" s="7"/>
        <tr r="G60" s="5"/>
        <tr r="G60" s="4"/>
        <tr r="G59" s="5"/>
        <tr r="G22" s="7"/>
        <tr r="G60" s="9"/>
        <tr r="G23" s="4"/>
        <tr r="G24" s="6"/>
        <tr r="G25" s="10"/>
        <tr r="G59" s="4"/>
        <tr r="G59" s="7"/>
        <tr r="G23" s="5"/>
        <tr r="G24" s="8"/>
        <tr r="G59" s="11"/>
        <tr r="G58" s="6"/>
        <tr r="G60" s="10"/>
        <tr r="G59" s="8"/>
        <tr r="G23" s="11"/>
        <tr r="G23" s="8"/>
        <tr r="G22" s="4"/>
        <tr r="G59" s="9"/>
        <tr r="G22" s="9"/>
        <tr r="G24" s="10"/>
        <tr r="G58" s="8"/>
        <tr r="G23" s="6"/>
        <tr r="G58" s="7"/>
        <tr r="G57" s="7"/>
        <tr r="G21" s="4"/>
        <tr r="G58" s="11"/>
        <tr r="G21" s="9"/>
        <tr r="G58" s="9"/>
        <tr r="G58" s="5"/>
        <tr r="G21" s="7"/>
        <tr r="G57" s="6"/>
        <tr r="G58" s="4"/>
        <tr r="G22" s="11"/>
        <tr r="G59" s="10"/>
        <tr r="G22" s="5"/>
        <tr r="G21" s="5"/>
        <tr r="G22" s="8"/>
        <tr r="G57" s="4"/>
        <tr r="G56" s="6"/>
        <tr r="G58" s="10"/>
        <tr r="G57" s="8"/>
        <tr r="G57" s="11"/>
        <tr r="G57" s="9"/>
        <tr r="G20" s="7"/>
        <tr r="G20" s="4"/>
        <tr r="G20" s="9"/>
        <tr r="G22" s="6"/>
        <tr r="G23" s="10"/>
        <tr r="G21" s="11"/>
        <tr r="G57" s="5"/>
        <tr r="G19" s="4"/>
        <tr r="G21" s="6"/>
        <tr r="G56" s="4"/>
        <tr r="G20" s="5"/>
        <tr r="G56" s="11"/>
        <tr r="G21" s="8"/>
        <tr r="G22" s="10"/>
        <tr r="G56" s="7"/>
        <tr r="G55" s="6"/>
        <tr r="G56" s="8"/>
        <tr r="G19" s="9"/>
        <tr r="G57" s="10"/>
        <tr r="G56" s="5"/>
        <tr r="G56" s="9"/>
        <tr r="G55" s="11"/>
        <tr r="G19" s="7"/>
        <tr r="G20" s="11"/>
        <tr r="G18" s="7"/>
        <tr r="G54" s="6"/>
        <tr r="G55" s="4"/>
        <tr r="G55" s="5"/>
        <tr r="G20" s="8"/>
        <tr r="G18" s="4"/>
        <tr r="G18" s="9"/>
        <tr r="G55" s="7"/>
        <tr r="G55" s="8"/>
        <tr r="G19" s="5"/>
        <tr r="G20" s="6"/>
        <tr r="G56" s="10"/>
        <tr r="G55" s="9"/>
        <tr r="G19" s="11"/>
        <tr r="G21" s="10"/>
        <tr r="G54" s="9"/>
        <tr r="G54" s="11"/>
        <tr r="G17" s="7"/>
        <tr r="G54" s="5"/>
        <tr r="G18" s="11"/>
        <tr r="G19" s="8"/>
        <tr r="G19" s="6"/>
        <tr r="G54" s="4"/>
        <tr r="G18" s="5"/>
        <tr r="G20" s="10"/>
        <tr r="G19" s="10"/>
        <tr r="G17" s="9"/>
        <tr r="G53" s="6"/>
        <tr r="G52" s="6"/>
        <tr r="G54" s="8"/>
        <tr r="G18" s="8"/>
        <tr r="G16" s="4"/>
        <tr r="G17" s="4"/>
        <tr r="G55" s="10"/>
        <tr r="G54" s="7"/>
        <tr r="G53" s="7"/>
        <tr r="G16" s="9"/>
        <tr r="G17" s="11"/>
        <tr r="G53" s="11"/>
        <tr r="G54" s="10"/>
        <tr r="G53" s="5"/>
        <tr r="G53" s="4"/>
        <tr r="G16" s="7"/>
        <tr r="G53" s="8"/>
        <tr r="G18" s="6"/>
        <tr r="G17" s="5"/>
        <tr r="G53" s="9"/>
        <tr r="G53" s="10"/>
        <tr r="G17" s="6"/>
        <tr r="G52" s="5"/>
        <tr r="G18" s="10"/>
        <tr r="G15" s="9"/>
        <tr r="G51" s="6"/>
        <tr r="G16" s="11"/>
        <tr r="G52" s="8"/>
        <tr r="G52" s="4"/>
        <tr r="G16" s="5"/>
        <tr r="G52" s="9"/>
        <tr r="G15" s="7"/>
        <tr r="G52" s="7"/>
        <tr r="G14" s="7"/>
        <tr r="G15" s="4"/>
        <tr r="G52" s="11"/>
        <tr r="G17" s="8"/>
        <tr r="G16" s="6"/>
        <tr r="G51" s="8"/>
        <tr r="G50" s="6"/>
        <tr r="G51" s="11"/>
        <tr r="G17" s="10"/>
        <tr r="G14" s="4"/>
        <tr r="G15" s="5"/>
        <tr r="G15" s="11"/>
        <tr r="G51" s="7"/>
        <tr r="G52" s="10"/>
        <tr r="G51" s="10"/>
        <tr r="G16" s="8"/>
        <tr r="G14" s="9"/>
        <tr r="G51" s="5"/>
        <tr r="G51" s="9"/>
        <tr r="G51" s="4"/>
        <tr r="G50" s="7"/>
        <tr r="G16" s="10"/>
        <tr r="G50" s="9"/>
        <tr r="G13" s="4"/>
        <tr r="G13" s="7"/>
        <tr r="G50" s="4"/>
        <tr r="G50" s="8"/>
        <tr r="G15" s="6"/>
        <tr r="G12" s="7"/>
        <tr r="G50" s="11"/>
        <tr r="G14" s="11"/>
        <tr r="G49" s="6"/>
        <tr r="G14" s="5"/>
        <tr r="G13" s="9"/>
        <tr r="G15" s="8"/>
        <tr r="G50" s="5"/>
        <tr r="G48" s="6"/>
        <tr r="G49" s="5"/>
        <tr r="G15" s="10"/>
        <tr r="G13" s="5"/>
        <tr r="G49" s="7"/>
        <tr r="G49" s="4"/>
        <tr r="G12" s="4"/>
        <tr r="G14" s="8"/>
        <tr r="G49" s="8"/>
        <tr r="G14" s="6"/>
        <tr r="G49" s="11"/>
        <tr r="G49" s="9"/>
        <tr r="G13" s="11"/>
        <tr r="G48" s="5"/>
        <tr r="G12" s="9"/>
        <tr r="G50" s="10"/>
        <tr r="G11" s="4"/>
        <tr r="G48" s="7"/>
        <tr r="G48" s="11"/>
        <tr r="G11" s="7"/>
        <tr r="G47" s="6"/>
        <tr r="G12" s="11"/>
        <tr r="G13" s="8"/>
        <tr r="G48" s="4"/>
        <tr r="G11" s="5"/>
        <tr r="G13" s="6"/>
        <tr r="G14" s="10"/>
        <tr r="G48" s="9"/>
        <tr r="G11" s="9"/>
        <tr r="G12" s="5"/>
        <tr r="G48" s="8"/>
        <tr r="G49" s="10"/>
        <tr r="G11" s="11"/>
        <tr r="G13" s="10"/>
        <tr r="G47" s="8"/>
        <tr r="G47" s="9"/>
        <tr r="G46" s="6"/>
        <tr r="G47" s="4"/>
        <tr r="G47" s="11"/>
        <tr r="G47" s="7"/>
        <tr r="G12" s="6"/>
        <tr r="G12" s="8"/>
        <tr r="G10" s="9"/>
        <tr r="G47" s="5"/>
        <tr r="G10" s="7"/>
        <tr r="G48" s="10"/>
        <tr r="G10" s="4"/>
        <tr r="G47" s="10"/>
        <tr r="G46" s="9"/>
        <tr r="G10" s="11"/>
        <tr r="G12" s="10"/>
        <tr r="G11" s="6"/>
        <tr r="G46" s="4"/>
        <tr r="G9" s="4"/>
        <tr r="G9" s="7"/>
        <tr r="G45" s="6"/>
        <tr r="G46" s="7"/>
        <tr r="G11" s="8"/>
        <tr r="G9" s="5"/>
        <tr r="G10" s="5"/>
        <tr r="G46" s="5"/>
        <tr r="G9" s="9"/>
        <tr r="G46" s="8"/>
        <tr r="G46" s="11"/>
        <tr r="G45" s="4"/>
        <tr r="G9" s="11"/>
        <tr r="G8" s="7"/>
        <tr r="G45" s="5"/>
        <tr r="G45" s="8"/>
        <tr r="G8" s="4"/>
        <tr r="G8" s="9"/>
        <tr r="G11" s="10"/>
        <tr r="G45" s="9"/>
        <tr r="G45" s="7"/>
        <tr r="G45" s="11"/>
        <tr r="G10" s="6"/>
        <tr r="G44" s="6"/>
        <tr r="G46" s="10"/>
        <tr r="G10" s="8"/>
        <tr r="G8" s="5"/>
        <tr r="G44" s="9"/>
        <tr r="G10" s="10"/>
        <tr r="G7" s="4"/>
        <tr r="G43" s="6"/>
        <tr r="G7" s="7"/>
        <tr r="G44" s="11"/>
        <tr r="G8" s="11"/>
        <tr r="G9" s="8"/>
        <tr r="G7" s="9"/>
        <tr r="G9" s="6"/>
        <tr r="G44" s="7"/>
        <tr r="G45" s="10"/>
        <tr r="G44" s="4"/>
        <tr r="G44" s="8"/>
        <tr r="G44" s="5"/>
        <tr r="G8" s="6"/>
        <tr r="G6" s="9"/>
        <tr r="G44" s="10"/>
        <tr r="G43" s="8"/>
        <tr r="G7" s="11"/>
        <tr r="G9" s="10"/>
        <tr r="G42" s="6"/>
        <tr r="G7" s="5"/>
        <tr r="G6" s="7"/>
        <tr r="G43" s="9"/>
        <tr r="G8" s="8"/>
        <tr r="G41" s="6"/>
        <tr r="G43" s="11"/>
        <tr r="G6" s="4"/>
        <tr r="G43" s="4"/>
        <tr r="G43" s="5"/>
        <tr r="G43" s="7"/>
        <tr r="G5" s="4"/>
        <tr r="G42" s="8"/>
        <tr r="G8" s="10"/>
        <tr r="G42" s="4"/>
        <tr r="G7" s="6"/>
        <tr r="G5" s="9"/>
        <tr r="G6" s="11"/>
        <tr r="G42" s="11"/>
        <tr r="G39" s="6"/>
        <tr r="G42" s="9"/>
        <tr r="G43" s="10"/>
        <tr r="G42" s="5"/>
        <tr r="G7" s="8"/>
        <tr r="G42" s="7"/>
        <tr r="G5" s="7"/>
        <tr r="G42" s="10"/>
        <tr r="G6" s="5"/>
        <tr r="G3" s="7"/>
        <tr r="G6" s="8"/>
        <tr r="G6" s="6"/>
        <tr r="G38" s="10"/>
        <tr r="G40" s="4"/>
        <tr r="G4" s="4"/>
        <tr r="G41" s="9"/>
        <tr r="G41" s="7"/>
        <tr r="G2" s="7"/>
        <tr r="G2" s="11"/>
        <tr r="G3" s="9"/>
        <tr r="G3" s="8"/>
        <tr r="G2" s="8"/>
        <tr r="G5" s="10"/>
        <tr r="G39" s="4"/>
        <tr r="G4" s="10"/>
        <tr r="G4" s="7"/>
        <tr r="G4" s="6"/>
        <tr r="G3" s="6"/>
        <tr r="G40" s="6"/>
        <tr r="G40" s="11"/>
        <tr r="G5" s="8"/>
        <tr r="G40" s="9"/>
        <tr r="G2" s="6"/>
        <tr r="G6" s="10"/>
        <tr r="G2" s="4"/>
        <tr r="G41" s="11"/>
        <tr r="G5" s="11"/>
        <tr r="G7" s="10"/>
        <tr r="G2" s="10"/>
        <tr r="G41" s="8"/>
        <tr r="G39" s="8"/>
        <tr r="G3" s="5"/>
        <tr r="G5" s="6"/>
        <tr r="G41" s="10"/>
        <tr r="G38" s="6"/>
        <tr r="G39" s="5"/>
        <tr r="G41" s="4"/>
        <tr r="G2" s="9"/>
        <tr r="G2" s="5"/>
        <tr r="G5" s="5"/>
        <tr r="G40" s="5"/>
        <tr r="G4" s="9"/>
        <tr r="G39" s="9"/>
        <tr r="G38" s="11"/>
        <tr r="G39" s="10"/>
        <tr r="G41" s="5"/>
        <tr r="G39" s="7"/>
        <tr r="G38" s="5"/>
        <tr r="G38" s="4"/>
        <tr r="G38" s="8"/>
        <tr r="G4" s="11"/>
        <tr r="G4" s="5"/>
        <tr r="G4" s="8"/>
        <tr r="G3" s="10"/>
        <tr r="G39" s="11"/>
        <tr r="G3" s="4"/>
        <tr r="G3" s="11"/>
        <tr r="G40" s="7"/>
        <tr r="G40" s="8"/>
        <tr r="G38" s="9"/>
        <tr r="G38" s="7"/>
        <tr r="G40" s="10"/>
        <tr r="E4" s="13"/>
        <tr r="E11" s="13"/>
        <tr r="E8" s="13"/>
        <tr r="E5" s="13"/>
        <tr r="E3" s="13"/>
        <tr r="E10" s="13"/>
        <tr r="E2" s="13"/>
        <tr r="E6" s="13"/>
        <tr r="E12" s="13"/>
        <tr r="E7" s="13"/>
        <tr r="E9" s="13"/>
      </tp>
    </main>
    <main first="rtdsrv.1aa3a8d4d84048bb976c05eb55ba5a5f">
      <tp t="s">
        <v/>
        <stp/>
        <stp>Market</stp>
        <stp>FOP</stp>
        <stp>マーケットスピード II にログインして「接続中」の状態に変更してから利用してください。</stp>
        <stp>残存日数</stp>
        <tr r="Q37" s="7"/>
        <tr r="Q37" s="4"/>
        <tr r="Q36" s="9"/>
        <tr r="Q36" s="4"/>
        <tr r="Q37" s="9"/>
        <tr r="Q36" s="7"/>
        <tr r="Q35" s="4"/>
        <tr r="Q35" s="9"/>
        <tr r="Q37" s="5"/>
        <tr r="Q35" s="7"/>
        <tr r="Q37" s="11"/>
        <tr r="Q36" s="11"/>
        <tr r="Q36" s="6"/>
        <tr r="Q36" s="5"/>
        <tr r="Q34" s="7"/>
        <tr r="Q37" s="6"/>
        <tr r="Q34" s="4"/>
        <tr r="Q35" s="5"/>
        <tr r="Q35" s="11"/>
        <tr r="Q37" s="10"/>
        <tr r="Q37" s="8"/>
        <tr r="Q36" s="8"/>
        <tr r="Q34" s="9"/>
        <tr r="Q33" s="4"/>
        <tr r="Q34" s="5"/>
        <tr r="Q33" s="7"/>
        <tr r="Q33" s="9"/>
        <tr r="Q35" s="6"/>
        <tr r="Q34" s="11"/>
        <tr r="Q35" s="8"/>
        <tr r="Q36" s="10"/>
        <tr r="Q32" s="4"/>
        <tr r="Q33" s="11"/>
        <tr r="Q32" s="9"/>
        <tr r="Q32" s="7"/>
        <tr r="Q35" s="10"/>
        <tr r="Q33" s="5"/>
        <tr r="Q34" s="8"/>
        <tr r="Q34" s="6"/>
        <tr r="Q67" s="6"/>
        <tr r="Q32" s="11"/>
        <tr r="Q31" s="4"/>
        <tr r="Q31" s="9"/>
        <tr r="Q34" s="10"/>
        <tr r="Q33" s="6"/>
        <tr r="Q33" s="8"/>
        <tr r="Q31" s="7"/>
        <tr r="Q32" s="5"/>
        <tr r="Q68" s="6"/>
        <tr r="Q67" s="8"/>
        <tr r="Q67" s="4"/>
        <tr r="Q68" s="11"/>
        <tr r="Q31" s="5"/>
        <tr r="Q30" s="7"/>
        <tr r="Q68" s="9"/>
        <tr r="Q67" s="5"/>
        <tr r="Q66" s="6"/>
        <tr r="Q31" s="11"/>
        <tr r="Q67" s="9"/>
        <tr r="Q67" s="11"/>
        <tr r="Q32" s="6"/>
        <tr r="Q68" s="8"/>
        <tr r="Q68" s="7"/>
        <tr r="Q67" s="7"/>
        <tr r="Q68" s="4"/>
        <tr r="Q32" s="8"/>
        <tr r="Q33" s="10"/>
        <tr r="Q68" s="5"/>
        <tr r="Q30" s="9"/>
        <tr r="Q30" s="11"/>
        <tr r="Q30" s="4"/>
        <tr r="Q29" s="9"/>
        <tr r="Q66" s="11"/>
        <tr r="Q29" s="7"/>
        <tr r="Q66" s="8"/>
        <tr r="Q31" s="6"/>
        <tr r="Q65" s="6"/>
        <tr r="Q29" s="4"/>
        <tr r="Q68" s="10"/>
        <tr r="Q66" s="5"/>
        <tr r="Q66" s="9"/>
        <tr r="Q66" s="7"/>
        <tr r="Q66" s="4"/>
        <tr r="Q32" s="10"/>
        <tr r="Q67" s="10"/>
        <tr r="Q30" s="5"/>
        <tr r="Q31" s="8"/>
        <tr r="Q65" s="8"/>
        <tr r="Q28" s="7"/>
        <tr r="Q29" s="11"/>
        <tr r="Q30" s="8"/>
        <tr r="Q66" s="10"/>
        <tr r="Q65" s="9"/>
        <tr r="Q30" s="6"/>
        <tr r="Q65" s="11"/>
        <tr r="Q65" s="5"/>
        <tr r="Q65" s="4"/>
        <tr r="Q31" s="10"/>
        <tr r="Q65" s="7"/>
        <tr r="Q28" s="4"/>
        <tr r="Q29" s="5"/>
        <tr r="Q28" s="11"/>
        <tr r="Q64" s="6"/>
        <tr r="Q28" s="9"/>
        <tr r="Q65" s="10"/>
        <tr r="Q64" s="4"/>
        <tr r="Q27" s="7"/>
        <tr r="Q64" s="11"/>
        <tr r="Q29" s="6"/>
        <tr r="Q29" s="8"/>
        <tr r="Q64" s="8"/>
        <tr r="Q64" s="7"/>
        <tr r="Q64" s="5"/>
        <tr r="Q63" s="6"/>
        <tr r="Q27" s="4"/>
        <tr r="Q30" s="10"/>
        <tr r="Q28" s="5"/>
        <tr r="Q64" s="9"/>
        <tr r="Q27" s="9"/>
        <tr r="Q28" s="8"/>
        <tr r="Q26" s="9"/>
        <tr r="Q63" s="4"/>
        <tr r="Q26" s="7"/>
        <tr r="Q28" s="6"/>
        <tr r="Q63" s="8"/>
        <tr r="Q26" s="4"/>
        <tr r="Q27" s="5"/>
        <tr r="Q63" s="9"/>
        <tr r="Q64" s="10"/>
        <tr r="Q63" s="11"/>
        <tr r="Q62" s="6"/>
        <tr r="Q29" s="10"/>
        <tr r="Q63" s="5"/>
        <tr r="Q63" s="7"/>
        <tr r="Q27" s="11"/>
        <tr r="Q27" s="8"/>
        <tr r="Q62" s="11"/>
        <tr r="Q62" s="9"/>
        <tr r="Q28" s="10"/>
        <tr r="Q63" s="10"/>
        <tr r="Q61" s="6"/>
        <tr r="Q25" s="7"/>
        <tr r="Q26" s="5"/>
        <tr r="Q62" s="8"/>
        <tr r="Q62" s="4"/>
        <tr r="Q62" s="5"/>
        <tr r="Q62" s="7"/>
        <tr r="Q27" s="6"/>
        <tr r="Q26" s="11"/>
        <tr r="Q25" s="9"/>
        <tr r="Q25" s="4"/>
        <tr r="Q61" s="8"/>
        <tr r="Q61" s="9"/>
        <tr r="Q26" s="8"/>
        <tr r="Q26" s="6"/>
        <tr r="Q24" s="4"/>
        <tr r="Q24" s="7"/>
        <tr r="Q62" s="10"/>
        <tr r="Q61" s="7"/>
        <tr r="Q25" s="11"/>
        <tr r="Q25" s="5"/>
        <tr r="Q27" s="10"/>
        <tr r="Q61" s="4"/>
        <tr r="Q24" s="9"/>
        <tr r="Q60" s="6"/>
        <tr r="Q61" s="11"/>
        <tr r="Q61" s="5"/>
        <tr r="Q59" s="6"/>
        <tr r="Q60" s="8"/>
        <tr r="Q26" s="10"/>
        <tr r="Q61" s="10"/>
        <tr r="Q23" s="9"/>
        <tr r="Q24" s="11"/>
        <tr r="Q24" s="5"/>
        <tr r="Q23" s="7"/>
        <tr r="Q60" s="11"/>
        <tr r="Q25" s="6"/>
        <tr r="Q60" s="4"/>
        <tr r="Q60" s="7"/>
        <tr r="Q25" s="8"/>
        <tr r="Q23" s="4"/>
        <tr r="Q60" s="5"/>
        <tr r="Q60" s="9"/>
        <tr r="Q24" s="6"/>
        <tr r="Q59" s="11"/>
        <tr r="Q25" s="10"/>
        <tr r="Q59" s="5"/>
        <tr r="Q59" s="7"/>
        <tr r="Q23" s="11"/>
        <tr r="Q59" s="8"/>
        <tr r="Q23" s="5"/>
        <tr r="Q24" s="10"/>
        <tr r="Q59" s="4"/>
        <tr r="Q59" s="9"/>
        <tr r="Q24" s="8"/>
        <tr r="Q22" s="7"/>
        <tr r="Q58" s="6"/>
        <tr r="Q22" s="9"/>
        <tr r="Q60" s="10"/>
        <tr r="Q22" s="4"/>
        <tr r="Q58" s="8"/>
        <tr r="Q58" s="5"/>
        <tr r="Q58" s="7"/>
        <tr r="Q21" s="4"/>
        <tr r="Q58" s="4"/>
        <tr r="Q58" s="9"/>
        <tr r="Q58" s="11"/>
        <tr r="Q57" s="6"/>
        <tr r="Q23" s="6"/>
        <tr r="Q22" s="11"/>
        <tr r="Q59" s="10"/>
        <tr r="Q21" s="7"/>
        <tr r="Q21" s="9"/>
        <tr r="Q22" s="5"/>
        <tr r="Q23" s="8"/>
        <tr r="Q22" s="8"/>
        <tr r="Q57" s="4"/>
        <tr r="Q56" s="6"/>
        <tr r="Q58" s="10"/>
        <tr r="Q20" s="4"/>
        <tr r="Q20" s="7"/>
        <tr r="Q23" s="10"/>
        <tr r="Q21" s="11"/>
        <tr r="Q57" s="8"/>
        <tr r="Q57" s="9"/>
        <tr r="Q57" s="5"/>
        <tr r="Q21" s="5"/>
        <tr r="Q22" s="6"/>
        <tr r="Q57" s="11"/>
        <tr r="Q20" s="9"/>
        <tr r="Q57" s="7"/>
        <tr r="Q19" s="4"/>
        <tr r="Q56" s="11"/>
        <tr r="Q21" s="6"/>
        <tr r="Q56" s="5"/>
        <tr r="Q56" s="4"/>
        <tr r="Q20" s="5"/>
        <tr r="Q21" s="8"/>
        <tr r="Q22" s="10"/>
        <tr r="Q55" s="6"/>
        <tr r="Q56" s="7"/>
        <tr r="Q20" s="11"/>
        <tr r="Q19" s="9"/>
        <tr r="Q56" s="8"/>
        <tr r="Q19" s="7"/>
        <tr r="Q56" s="9"/>
        <tr r="Q57" s="10"/>
        <tr r="Q54" s="6"/>
        <tr r="Q55" s="4"/>
        <tr r="Q55" s="5"/>
        <tr r="Q55" s="7"/>
        <tr r="Q19" s="11"/>
        <tr r="Q55" s="8"/>
        <tr r="Q19" s="5"/>
        <tr r="Q56" s="10"/>
        <tr r="Q55" s="9"/>
        <tr r="Q18" s="9"/>
        <tr r="Q18" s="7"/>
        <tr r="Q20" s="6"/>
        <tr r="Q55" s="11"/>
        <tr r="Q20" s="8"/>
        <tr r="Q18" s="4"/>
        <tr r="Q20" s="10"/>
        <tr r="Q21" s="10"/>
        <tr r="Q54" s="9"/>
        <tr r="Q54" s="4"/>
        <tr r="Q17" s="9"/>
        <tr r="Q54" s="5"/>
        <tr r="Q53" s="6"/>
        <tr r="Q55" s="10"/>
        <tr r="Q18" s="5"/>
        <tr r="Q19" s="6"/>
        <tr r="Q17" s="4"/>
        <tr r="Q17" s="7"/>
        <tr r="Q54" s="11"/>
        <tr r="Q19" s="8"/>
        <tr r="Q18" s="11"/>
        <tr r="Q19" s="10"/>
        <tr r="Q54" s="8"/>
        <tr r="Q54" s="7"/>
        <tr r="Q53" s="7"/>
        <tr r="Q16" s="9"/>
        <tr r="Q17" s="11"/>
        <tr r="Q53" s="11"/>
        <tr r="Q54" s="10"/>
        <tr r="Q53" s="5"/>
        <tr r="Q53" s="8"/>
        <tr r="Q16" s="4"/>
        <tr r="Q16" s="7"/>
        <tr r="Q52" s="6"/>
        <tr r="Q18" s="8"/>
        <tr r="Q17" s="5"/>
        <tr r="Q16" s="11"/>
        <tr r="Q53" s="4"/>
        <tr r="Q53" s="9"/>
        <tr r="Q52" s="8"/>
        <tr r="Q15" s="9"/>
        <tr r="Q18" s="6"/>
        <tr r="Q53" s="10"/>
        <tr r="Q52" s="5"/>
        <tr r="Q18" s="10"/>
        <tr r="Q52" s="7"/>
        <tr r="Q16" s="5"/>
        <tr r="Q52" s="4"/>
        <tr r="Q17" s="10"/>
        <tr r="Q17" s="6"/>
        <tr r="Q17" s="8"/>
        <tr r="Q15" s="4"/>
        <tr r="Q51" s="6"/>
        <tr r="Q52" s="9"/>
        <tr r="Q15" s="7"/>
        <tr r="Q52" s="11"/>
        <tr r="Q50" s="6"/>
        <tr r="Q51" s="11"/>
        <tr r="Q51" s="5"/>
        <tr r="Q15" s="5"/>
        <tr r="Q16" s="6"/>
        <tr r="Q52" s="10"/>
        <tr r="Q15" s="11"/>
        <tr r="Q51" s="8"/>
        <tr r="Q51" s="9"/>
        <tr r="Q51" s="7"/>
        <tr r="Q16" s="8"/>
        <tr r="Q14" s="9"/>
        <tr r="Q14" s="4"/>
        <tr r="Q14" s="7"/>
        <tr r="Q51" s="4"/>
        <tr r="Q16" s="10"/>
        <tr r="Q50" s="7"/>
        <tr r="Q50" s="9"/>
        <tr r="Q49" s="6"/>
        <tr r="Q50" s="4"/>
        <tr r="Q14" s="11"/>
        <tr r="Q13" s="9"/>
        <tr r="Q50" s="8"/>
        <tr r="Q50" s="5"/>
        <tr r="Q14" s="5"/>
        <tr r="Q15" s="6"/>
        <tr r="Q51" s="10"/>
        <tr r="Q13" s="4"/>
        <tr r="Q13" s="7"/>
        <tr r="Q15" s="8"/>
        <tr r="Q50" s="11"/>
        <tr r="Q12" s="4"/>
        <tr r="Q49" s="4"/>
        <tr r="Q48" s="6"/>
        <tr r="Q15" s="10"/>
        <tr r="Q49" s="9"/>
        <tr r="Q49" s="8"/>
        <tr r="Q14" s="6"/>
        <tr r="Q13" s="5"/>
        <tr r="Q49" s="5"/>
        <tr r="Q49" s="10"/>
        <tr r="Q12" s="9"/>
        <tr r="Q12" s="7"/>
        <tr r="Q50" s="10"/>
        <tr r="Q49" s="11"/>
        <tr r="Q49" s="7"/>
        <tr r="Q13" s="11"/>
        <tr r="Q14" s="8"/>
        <tr r="Q11" s="4"/>
        <tr r="Q48" s="7"/>
        <tr r="Q48" s="11"/>
        <tr r="Q11" s="7"/>
        <tr r="Q12" s="11"/>
        <tr r="Q11" s="9"/>
        <tr r="Q13" s="8"/>
        <tr r="Q14" s="10"/>
        <tr r="Q12" s="5"/>
        <tr r="Q46" s="6"/>
        <tr r="Q48" s="5"/>
        <tr r="Q47" s="6"/>
        <tr r="Q13" s="6"/>
        <tr r="Q47" s="9"/>
        <tr r="Q48" s="8"/>
        <tr r="Q48" s="9"/>
        <tr r="Q48" s="4"/>
        <tr r="Q10" s="7"/>
        <tr r="Q11" s="11"/>
        <tr r="Q47" s="8"/>
        <tr r="Q47" s="5"/>
        <tr r="Q47" s="11"/>
        <tr r="Q48" s="10"/>
        <tr r="Q12" s="8"/>
        <tr r="Q12" s="6"/>
        <tr r="Q47" s="4"/>
        <tr r="Q10" s="4"/>
        <tr r="Q11" s="5"/>
        <tr r="Q13" s="10"/>
        <tr r="Q47" s="7"/>
        <tr r="Q10" s="9"/>
        <tr r="Q47" s="10"/>
        <tr r="Q46" s="9"/>
        <tr r="Q10" s="11"/>
        <tr r="Q11" s="6"/>
        <tr r="Q45" s="6"/>
        <tr r="Q9" s="4"/>
        <tr r="Q10" s="5"/>
        <tr r="Q12" s="10"/>
        <tr r="Q46" s="4"/>
        <tr r="Q46" s="11"/>
        <tr r="Q11" s="8"/>
        <tr r="Q46" s="7"/>
        <tr r="Q46" s="8"/>
        <tr r="Q46" s="5"/>
        <tr r="Q9" s="7"/>
        <tr r="Q9" s="9"/>
        <tr r="Q45" s="4"/>
        <tr r="Q9" s="11"/>
        <tr r="Q8" s="7"/>
        <tr r="Q45" s="11"/>
        <tr r="Q45" s="5"/>
        <tr r="Q45" s="7"/>
        <tr r="Q45" s="9"/>
        <tr r="Q8" s="4"/>
        <tr r="Q8" s="9"/>
        <tr r="Q46" s="10"/>
        <tr r="Q44" s="6"/>
        <tr r="Q45" s="8"/>
        <tr r="Q10" s="8"/>
        <tr r="Q11" s="10"/>
        <tr r="Q9" s="5"/>
        <tr r="Q10" s="6"/>
        <tr r="Q8" s="5"/>
        <tr r="Q44" s="9"/>
        <tr r="Q7" s="4"/>
        <tr r="Q43" s="6"/>
        <tr r="Q8" s="11"/>
        <tr r="Q45" s="10"/>
        <tr r="Q9" s="8"/>
        <tr r="Q7" s="9"/>
        <tr r="Q10" s="10"/>
        <tr r="Q7" s="11"/>
        <tr r="Q44" s="7"/>
        <tr r="Q9" s="6"/>
        <tr r="Q44" s="8"/>
        <tr r="Q44" s="5"/>
        <tr r="Q44" s="4"/>
        <tr r="Q44" s="11"/>
        <tr r="Q7" s="7"/>
        <tr r="Q6" s="7"/>
        <tr r="Q43" s="11"/>
        <tr r="Q43" s="8"/>
        <tr r="Q8" s="6"/>
        <tr r="Q8" s="8"/>
        <tr r="Q6" s="4"/>
        <tr r="Q7" s="5"/>
        <tr r="Q6" s="9"/>
        <tr r="Q42" s="6"/>
        <tr r="Q9" s="10"/>
        <tr r="Q43" s="4"/>
        <tr r="Q44" s="10"/>
        <tr r="Q43" s="7"/>
        <tr r="Q43" s="9"/>
        <tr r="Q5" s="9"/>
        <tr r="Q43" s="5"/>
        <tr r="Q5" s="4"/>
        <tr r="Q42" s="8"/>
        <tr r="Q8" s="10"/>
        <tr r="Q42" s="7"/>
        <tr r="Q43" s="10"/>
        <tr r="Q5" s="7"/>
        <tr r="Q42" s="9"/>
        <tr r="Q42" s="5"/>
        <tr r="Q7" s="6"/>
        <tr r="Q42" s="11"/>
        <tr r="Q6" s="11"/>
        <tr r="Q42" s="4"/>
        <tr r="Q6" s="5"/>
        <tr r="Q3" s="10"/>
        <tr r="Q41" s="6"/>
        <tr r="Q7" s="8"/>
        <tr r="Q40" s="4"/>
        <tr r="Q6" s="6"/>
        <tr r="Q41" s="10"/>
        <tr r="Q41" s="9"/>
        <tr r="Q42" s="10"/>
        <tr r="Q41" s="7"/>
        <tr r="Q2" s="7"/>
        <tr r="Q2" s="11"/>
        <tr r="Q3" s="9"/>
        <tr r="Q2" s="5"/>
        <tr r="Q2" s="8"/>
        <tr r="Q41" s="4"/>
        <tr r="Q5" s="10"/>
        <tr r="Q4" s="7"/>
        <tr r="Q4" s="6"/>
        <tr r="Q3" s="6"/>
        <tr r="Q40" s="11"/>
        <tr r="Q38" s="5"/>
        <tr r="Q5" s="6"/>
        <tr r="Q40" s="5"/>
        <tr r="Q2" s="4"/>
        <tr r="Q41" s="11"/>
        <tr r="Q7" s="10"/>
        <tr r="Q3" s="4"/>
        <tr r="Q4" s="9"/>
        <tr r="Q40" s="10"/>
        <tr r="Q41" s="5"/>
        <tr r="Q40" s="6"/>
        <tr r="Q38" s="10"/>
        <tr r="Q4" s="4"/>
        <tr r="Q39" s="4"/>
        <tr r="Q4" s="10"/>
        <tr r="Q38" s="6"/>
        <tr r="Q38" s="11"/>
        <tr r="Q3" s="8"/>
        <tr r="Q38" s="4"/>
        <tr r="Q2" s="9"/>
        <tr r="Q6" s="8"/>
        <tr r="Q39" s="9"/>
        <tr r="Q5" s="8"/>
        <tr r="Q38" s="9"/>
        <tr r="Q4" s="11"/>
        <tr r="Q39" s="6"/>
        <tr r="Q3" s="11"/>
        <tr r="Q3" s="5"/>
        <tr r="Q5" s="11"/>
        <tr r="Q39" s="7"/>
        <tr r="Q40" s="9"/>
        <tr r="Q40" s="8"/>
        <tr r="Q6" s="10"/>
        <tr r="Q2" s="6"/>
        <tr r="Q41" s="8"/>
        <tr r="Q38" s="7"/>
        <tr r="Q39" s="10"/>
        <tr r="Q39" s="8"/>
        <tr r="Q40" s="7"/>
        <tr r="Q2" s="10"/>
        <tr r="Q39" s="5"/>
        <tr r="Q4" s="8"/>
        <tr r="Q3" s="7"/>
        <tr r="Q38" s="8"/>
        <tr r="Q5" s="5"/>
        <tr r="Q4" s="5"/>
        <tr r="Q39" s="11"/>
      </tp>
    </main>
    <main first="rtdsrv.1aa3a8d4d84048bb976c05eb55ba5a5f">
      <tp t="s">
        <v/>
        <stp/>
        <stp>Market</stp>
        <stp>FOP</stp>
        <stp>マーケットスピード II にログインして「接続中」の状態に変更してから利用してください。</stp>
        <stp>現在値詳細時刻</stp>
        <tr r="F37" s="7"/>
        <tr r="F37" s="4"/>
        <tr r="F36" s="9"/>
        <tr r="F37" s="9"/>
        <tr r="F36" s="4"/>
        <tr r="F36" s="7"/>
        <tr r="F35" s="9"/>
        <tr r="F37" s="5"/>
        <tr r="F37" s="11"/>
        <tr r="F35" s="7"/>
        <tr r="F35" s="4"/>
        <tr r="F36" s="5"/>
        <tr r="F35" s="11"/>
        <tr r="F36" s="11"/>
        <tr r="F34" s="7"/>
        <tr r="F37" s="6"/>
        <tr r="F35" s="5"/>
        <tr r="F37" s="8"/>
        <tr r="F36" s="6"/>
        <tr r="F34" s="9"/>
        <tr r="F36" s="8"/>
        <tr r="F34" s="4"/>
        <tr r="F34" s="5"/>
        <tr r="F35" s="6"/>
        <tr r="F33" s="4"/>
        <tr r="F34" s="11"/>
        <tr r="F33" s="7"/>
        <tr r="F37" s="10"/>
        <tr r="F33" s="9"/>
        <tr r="F36" s="10"/>
        <tr r="F35" s="8"/>
        <tr r="F33" s="11"/>
        <tr r="F32" s="9"/>
        <tr r="F32" s="4"/>
        <tr r="F35" s="10"/>
        <tr r="F34" s="6"/>
        <tr r="F33" s="5"/>
        <tr r="F32" s="7"/>
        <tr r="F34" s="8"/>
        <tr r="F32" s="11"/>
        <tr r="F31" s="4"/>
        <tr r="F31" s="7"/>
        <tr r="F31" s="9"/>
        <tr r="F32" s="5"/>
        <tr r="F33" s="8"/>
        <tr r="F33" s="6"/>
        <tr r="F34" s="10"/>
        <tr r="F67" s="6"/>
        <tr r="F68" s="6"/>
        <tr r="F67" s="8"/>
        <tr r="F31" s="11"/>
        <tr r="F67" s="4"/>
        <tr r="F68" s="11"/>
        <tr r="F31" s="5"/>
        <tr r="F67" s="9"/>
        <tr r="F32" s="6"/>
        <tr r="F67" s="7"/>
        <tr r="F67" s="5"/>
        <tr r="F32" s="8"/>
        <tr r="F30" s="4"/>
        <tr r="F30" s="7"/>
        <tr r="F68" s="8"/>
        <tr r="F68" s="7"/>
        <tr r="F66" s="6"/>
        <tr r="F33" s="10"/>
        <tr r="F67" s="11"/>
        <tr r="F68" s="9"/>
        <tr r="F30" s="11"/>
        <tr r="F68" s="4"/>
        <tr r="F30" s="9"/>
        <tr r="F68" s="5"/>
        <tr r="F29" s="9"/>
        <tr r="F68" s="10"/>
        <tr r="F66" s="11"/>
        <tr r="F29" s="7"/>
        <tr r="F66" s="9"/>
        <tr r="F65" s="6"/>
        <tr r="F66" s="4"/>
        <tr r="F66" s="7"/>
        <tr r="F66" s="8"/>
        <tr r="F66" s="5"/>
        <tr r="F31" s="6"/>
        <tr r="F67" s="10"/>
        <tr r="F29" s="4"/>
        <tr r="F31" s="8"/>
        <tr r="F65" s="8"/>
        <tr r="F32" s="10"/>
        <tr r="F30" s="5"/>
        <tr r="F30" s="8"/>
        <tr r="F66" s="10"/>
        <tr r="F28" s="7"/>
        <tr r="F30" s="6"/>
        <tr r="F65" s="11"/>
        <tr r="F65" s="5"/>
        <tr r="F65" s="9"/>
        <tr r="F29" s="11"/>
        <tr r="F29" s="5"/>
        <tr r="F29" s="8"/>
        <tr r="F65" s="4"/>
        <tr r="F28" s="4"/>
        <tr r="F28" s="9"/>
        <tr r="F65" s="7"/>
        <tr r="F31" s="10"/>
        <tr r="F64" s="6"/>
        <tr r="F65" s="10"/>
        <tr r="F64" s="4"/>
        <tr r="F27" s="7"/>
        <tr r="F28" s="11"/>
        <tr r="F63" s="6"/>
        <tr r="F64" s="11"/>
        <tr r="F29" s="6"/>
        <tr r="F64" s="8"/>
        <tr r="F64" s="5"/>
        <tr r="F64" s="7"/>
        <tr r="F64" s="9"/>
        <tr r="F27" s="9"/>
        <tr r="F63" s="7"/>
        <tr r="F28" s="5"/>
        <tr r="F30" s="10"/>
        <tr r="F27" s="4"/>
        <tr r="F63" s="11"/>
        <tr r="F26" s="9"/>
        <tr r="F63" s="4"/>
        <tr r="F26" s="7"/>
        <tr r="F63" s="5"/>
        <tr r="F26" s="4"/>
        <tr r="F27" s="5"/>
        <tr r="F63" s="8"/>
        <tr r="F26" s="5"/>
        <tr r="F63" s="9"/>
        <tr r="F28" s="6"/>
        <tr r="F64" s="10"/>
        <tr r="F29" s="10"/>
        <tr r="F27" s="11"/>
        <tr r="F62" s="6"/>
        <tr r="F28" s="8"/>
        <tr r="F27" s="8"/>
        <tr r="F62" s="11"/>
        <tr r="F62" s="9"/>
        <tr r="F28" s="10"/>
        <tr r="F25" s="7"/>
        <tr r="F25" s="4"/>
        <tr r="F62" s="7"/>
        <tr r="F62" s="4"/>
        <tr r="F62" s="8"/>
        <tr r="F26" s="11"/>
        <tr r="F63" s="10"/>
        <tr r="F25" s="9"/>
        <tr r="F61" s="6"/>
        <tr r="F62" s="5"/>
        <tr r="F27" s="6"/>
        <tr r="F61" s="9"/>
        <tr r="F26" s="8"/>
        <tr r="F26" s="6"/>
        <tr r="F24" s="4"/>
        <tr r="F62" s="10"/>
        <tr r="F61" s="7"/>
        <tr r="F61" s="8"/>
        <tr r="F25" s="5"/>
        <tr r="F61" s="5"/>
        <tr r="F60" s="6"/>
        <tr r="F24" s="7"/>
        <tr r="F61" s="4"/>
        <tr r="F25" s="11"/>
        <tr r="F27" s="10"/>
        <tr r="F61" s="11"/>
        <tr r="F24" s="9"/>
        <tr r="F59" s="6"/>
        <tr r="F60" s="8"/>
        <tr r="F26" s="10"/>
        <tr r="F61" s="10"/>
        <tr r="F23" s="9"/>
        <tr r="F24" s="11"/>
        <tr r="F24" s="5"/>
        <tr r="F23" s="7"/>
        <tr r="F25" s="6"/>
        <tr r="F60" s="9"/>
        <tr r="F25" s="8"/>
        <tr r="F23" s="4"/>
        <tr r="F60" s="7"/>
        <tr r="F60" s="11"/>
        <tr r="F60" s="5"/>
        <tr r="F60" s="4"/>
        <tr r="F24" s="6"/>
        <tr r="F59" s="11"/>
        <tr r="F25" s="10"/>
        <tr r="F59" s="4"/>
        <tr r="F59" s="8"/>
        <tr r="F58" s="6"/>
        <tr r="F59" s="9"/>
        <tr r="F59" s="5"/>
        <tr r="F58" s="4"/>
        <tr r="F22" s="7"/>
        <tr r="F59" s="7"/>
        <tr r="F22" s="4"/>
        <tr r="F23" s="5"/>
        <tr r="F23" s="11"/>
        <tr r="F58" s="5"/>
        <tr r="F60" s="10"/>
        <tr r="F22" s="9"/>
        <tr r="F24" s="8"/>
        <tr r="F24" s="10"/>
        <tr r="F23" s="6"/>
        <tr r="F58" s="7"/>
        <tr r="F21" s="4"/>
        <tr r="F58" s="9"/>
        <tr r="F21" s="9"/>
        <tr r="F22" s="5"/>
        <tr r="F21" s="7"/>
        <tr r="F58" s="11"/>
        <tr r="F58" s="8"/>
        <tr r="F57" s="6"/>
        <tr r="F22" s="11"/>
        <tr r="F23" s="8"/>
        <tr r="F57" s="11"/>
        <tr r="F59" s="10"/>
        <tr r="F22" s="8"/>
        <tr r="F57" s="4"/>
        <tr r="F56" s="6"/>
        <tr r="F58" s="10"/>
        <tr r="F20" s="4"/>
        <tr r="F20" s="7"/>
        <tr r="F57" s="8"/>
        <tr r="F23" s="10"/>
        <tr r="F21" s="11"/>
        <tr r="F20" s="9"/>
        <tr r="F22" s="6"/>
        <tr r="F19" s="9"/>
        <tr r="F21" s="5"/>
        <tr r="F56" s="5"/>
        <tr r="F57" s="5"/>
        <tr r="F57" s="9"/>
        <tr r="F57" s="7"/>
        <tr r="F21" s="6"/>
        <tr r="F56" s="4"/>
        <tr r="F20" s="5"/>
        <tr r="F22" s="10"/>
        <tr r="F56" s="7"/>
        <tr r="F56" s="8"/>
        <tr r="F19" s="4"/>
        <tr r="F56" s="9"/>
        <tr r="F21" s="8"/>
        <tr r="F56" s="11"/>
        <tr r="F57" s="10"/>
        <tr r="F55" s="6"/>
        <tr r="F20" s="11"/>
        <tr r="F19" s="7"/>
        <tr r="F18" s="4"/>
        <tr r="F54" s="6"/>
        <tr r="F55" s="4"/>
        <tr r="F55" s="5"/>
        <tr r="F20" s="8"/>
        <tr r="F55" s="11"/>
        <tr r="F19" s="11"/>
        <tr r="F18" s="7"/>
        <tr r="F55" s="9"/>
        <tr r="F20" s="6"/>
        <tr r="F55" s="7"/>
        <tr r="F18" s="9"/>
        <tr r="F56" s="10"/>
        <tr r="F55" s="8"/>
        <tr r="F21" s="10"/>
        <tr r="F19" s="5"/>
        <tr r="F54" s="9"/>
        <tr r="F54" s="11"/>
        <tr r="F54" s="4"/>
        <tr r="F17" s="7"/>
        <tr r="F18" s="11"/>
        <tr r="F53" s="6"/>
        <tr r="F54" s="8"/>
        <tr r="F17" s="9"/>
        <tr r="F20" s="10"/>
        <tr r="F54" s="5"/>
        <tr r="F19" s="8"/>
        <tr r="F19" s="6"/>
        <tr r="F17" s="5"/>
        <tr r="F54" s="7"/>
        <tr r="F17" s="4"/>
        <tr r="F55" s="10"/>
        <tr r="F18" s="5"/>
        <tr r="F53" s="7"/>
        <tr r="F19" s="10"/>
        <tr r="F16" s="9"/>
        <tr r="F53" s="4"/>
        <tr r="F18" s="8"/>
        <tr r="F53" s="8"/>
        <tr r="F52" s="6"/>
        <tr r="F16" s="4"/>
        <tr r="F17" s="11"/>
        <tr r="F53" s="5"/>
        <tr r="F53" s="11"/>
        <tr r="F53" s="9"/>
        <tr r="F54" s="10"/>
        <tr r="F18" s="6"/>
        <tr r="F16" s="7"/>
        <tr r="F16" s="11"/>
        <tr r="F17" s="6"/>
        <tr r="F52" s="5"/>
        <tr r="F52" s="4"/>
        <tr r="F16" s="5"/>
        <tr r="F15" s="4"/>
        <tr r="F53" s="10"/>
        <tr r="F18" s="10"/>
        <tr r="F52" s="7"/>
        <tr r="F16" s="6"/>
        <tr r="F52" s="8"/>
        <tr r="F15" s="9"/>
        <tr r="F17" s="8"/>
        <tr r="F52" s="9"/>
        <tr r="F51" s="6"/>
        <tr r="F14" s="4"/>
        <tr r="F52" s="11"/>
        <tr r="F15" s="7"/>
        <tr r="F15" s="5"/>
        <tr r="F50" s="6"/>
        <tr r="F51" s="11"/>
        <tr r="F51" s="9"/>
        <tr r="F14" s="9"/>
        <tr r="F15" s="11"/>
        <tr r="F51" s="5"/>
        <tr r="F17" s="10"/>
        <tr r="F52" s="10"/>
        <tr r="F51" s="8"/>
        <tr r="F16" s="8"/>
        <tr r="F51" s="7"/>
        <tr r="F14" s="7"/>
        <tr r="F51" s="4"/>
        <tr r="F15" s="8"/>
        <tr r="F50" s="7"/>
        <tr r="F16" s="10"/>
        <tr r="F50" s="9"/>
        <tr r="F51" s="10"/>
        <tr r="F13" s="4"/>
        <tr r="F50" s="4"/>
        <tr r="F13" s="9"/>
        <tr r="F50" s="5"/>
        <tr r="F49" s="6"/>
        <tr r="F14" s="5"/>
        <tr r="F14" s="11"/>
        <tr r="F13" s="7"/>
        <tr r="F15" s="10"/>
        <tr r="F50" s="8"/>
        <tr r="F15" s="6"/>
        <tr r="F50" s="11"/>
        <tr r="F12" s="4"/>
        <tr r="F49" s="4"/>
        <tr r="F48" s="6"/>
        <tr r="F49" s="5"/>
        <tr r="F14" s="8"/>
        <tr r="F13" s="5"/>
        <tr r="F12" s="5"/>
        <tr r="F49" s="8"/>
        <tr r="F14" s="6"/>
        <tr r="F49" s="11"/>
        <tr r="F12" s="9"/>
        <tr r="F49" s="9"/>
        <tr r="F12" s="7"/>
        <tr r="F49" s="7"/>
        <tr r="F13" s="11"/>
        <tr r="F11" s="9"/>
        <tr r="F50" s="10"/>
        <tr r="F11" s="4"/>
        <tr r="F48" s="7"/>
        <tr r="F48" s="11"/>
        <tr r="F11" s="7"/>
        <tr r="F12" s="11"/>
        <tr r="F48" s="5"/>
        <tr r="F13" s="6"/>
        <tr r="F48" s="8"/>
        <tr r="F13" s="8"/>
        <tr r="F49" s="10"/>
        <tr r="F46" s="6"/>
        <tr r="F14" s="10"/>
        <tr r="F47" s="6"/>
        <tr r="F48" s="9"/>
        <tr r="F48" s="4"/>
        <tr r="F47" s="8"/>
        <tr r="F47" s="4"/>
        <tr r="F12" s="8"/>
        <tr r="F12" s="6"/>
        <tr r="F48" s="10"/>
        <tr r="F10" s="7"/>
        <tr r="F9" s="4"/>
        <tr r="F11" s="11"/>
        <tr r="F13" s="10"/>
        <tr r="F47" s="5"/>
        <tr r="F10" s="9"/>
        <tr r="F47" s="7"/>
        <tr r="F10" s="4"/>
        <tr r="F47" s="11"/>
        <tr r="F11" s="5"/>
        <tr r="F47" s="9"/>
        <tr r="F46" s="9"/>
        <tr r="F10" s="11"/>
        <tr r="F12" s="10"/>
        <tr r="F11" s="6"/>
        <tr r="F46" s="4"/>
        <tr r="F47" s="10"/>
        <tr r="F45" s="6"/>
        <tr r="F11" s="8"/>
        <tr r="F46" s="7"/>
        <tr r="F10" s="5"/>
        <tr r="F9" s="7"/>
        <tr r="F46" s="8"/>
        <tr r="F46" s="5"/>
        <tr r="F9" s="9"/>
        <tr r="F46" s="11"/>
        <tr r="F45" s="4"/>
        <tr r="F9" s="11"/>
        <tr r="F8" s="7"/>
        <tr r="F45" s="11"/>
        <tr r="F45" s="5"/>
        <tr r="F45" s="8"/>
        <tr r="F45" s="7"/>
        <tr r="F45" s="9"/>
        <tr r="F44" s="6"/>
        <tr r="F10" s="8"/>
        <tr r="F44" s="8"/>
        <tr r="F10" s="6"/>
        <tr r="F11" s="10"/>
        <tr r="F9" s="5"/>
        <tr r="F46" s="10"/>
        <tr r="F8" s="4"/>
        <tr r="F8" s="9"/>
        <tr r="F8" s="5"/>
        <tr r="F44" s="9"/>
        <tr r="F10" s="10"/>
        <tr r="F7" s="4"/>
        <tr r="F43" s="6"/>
        <tr r="F7" s="7"/>
        <tr r="F44" s="4"/>
        <tr r="F9" s="8"/>
        <tr r="F44" s="11"/>
        <tr r="F44" s="7"/>
        <tr r="F44" s="5"/>
        <tr r="F9" s="6"/>
        <tr r="F8" s="11"/>
        <tr r="F7" s="5"/>
        <tr r="F45" s="10"/>
        <tr r="F6" s="9"/>
        <tr r="F7" s="9"/>
        <tr r="F43" s="8"/>
        <tr r="F42" s="6"/>
        <tr r="F8" s="6"/>
        <tr r="F9" s="10"/>
        <tr r="F44" s="10"/>
        <tr r="F43" s="11"/>
        <tr r="F7" s="11"/>
        <tr r="F42" s="7"/>
        <tr r="F8" s="8"/>
        <tr r="F6" s="7"/>
        <tr r="F43" s="7"/>
        <tr r="F43" s="9"/>
        <tr r="F43" s="5"/>
        <tr r="F5" s="4"/>
        <tr r="F43" s="4"/>
        <tr r="F6" s="4"/>
        <tr r="F8" s="10"/>
        <tr r="F42" s="4"/>
        <tr r="F7" s="6"/>
        <tr r="F5" s="9"/>
        <tr r="F43" s="10"/>
        <tr r="F42" s="11"/>
        <tr r="F42" s="8"/>
        <tr r="F7" s="8"/>
        <tr r="F6" s="5"/>
        <tr r="F3" s="6"/>
        <tr r="F5" s="7"/>
        <tr r="F42" s="5"/>
        <tr r="F41" s="6"/>
        <tr r="F6" s="11"/>
        <tr r="F42" s="9"/>
        <tr r="F41" s="11"/>
        <tr r="F6" s="6"/>
        <tr r="F38" s="10"/>
        <tr r="F40" s="4"/>
        <tr r="F4" s="4"/>
        <tr r="F41" s="10"/>
        <tr r="F41" s="9"/>
        <tr r="F42" s="10"/>
        <tr r="F41" s="7"/>
        <tr r="F2" s="7"/>
        <tr r="F2" s="11"/>
        <tr r="F3" s="9"/>
        <tr r="F3" s="8"/>
        <tr r="F2" s="5"/>
        <tr r="F38" s="6"/>
        <tr r="F39" s="4"/>
        <tr r="F4" s="10"/>
        <tr r="F4" s="6"/>
        <tr r="F40" s="6"/>
        <tr r="F40" s="11"/>
        <tr r="F38" s="5"/>
        <tr r="F5" s="8"/>
        <tr r="F38" s="11"/>
        <tr r="F40" s="9"/>
        <tr r="F39" s="7"/>
        <tr r="F2" s="6"/>
        <tr r="F2" s="4"/>
        <tr r="F39" s="5"/>
        <tr r="F40" s="7"/>
        <tr r="F41" s="8"/>
        <tr r="F3" s="5"/>
        <tr r="F38" s="7"/>
        <tr r="F39" s="8"/>
        <tr r="F2" s="8"/>
        <tr r="F41" s="4"/>
        <tr r="F5" s="6"/>
        <tr r="F4" s="7"/>
        <tr r="F39" s="6"/>
        <tr r="F2" s="9"/>
        <tr r="F2" s="10"/>
        <tr r="F4" s="9"/>
        <tr r="F5" s="10"/>
        <tr r="F3" s="10"/>
        <tr r="F40" s="5"/>
        <tr r="F4" s="8"/>
        <tr r="F41" s="5"/>
        <tr r="F38" s="4"/>
        <tr r="F3" s="7"/>
        <tr r="F7" s="10"/>
        <tr r="F39" s="10"/>
        <tr r="F38" s="9"/>
        <tr r="F4" s="11"/>
        <tr r="F3" s="4"/>
        <tr r="F6" s="10"/>
        <tr r="F5" s="5"/>
        <tr r="F6" s="8"/>
        <tr r="F5" s="11"/>
        <tr r="F39" s="9"/>
        <tr r="F39" s="11"/>
        <tr r="F40" s="8"/>
        <tr r="F40" s="10"/>
        <tr r="F4" s="5"/>
        <tr r="F3" s="11"/>
        <tr r="F38" s="8"/>
        <tr r="D9" s="13"/>
        <tr r="D6" s="13"/>
        <tr r="D11" s="13"/>
        <tr r="D5" s="13"/>
        <tr r="D10" s="13"/>
        <tr r="D3" s="13"/>
        <tr r="D4" s="13"/>
        <tr r="D2" s="13"/>
        <tr r="D8" s="13"/>
        <tr r="D12" s="13"/>
        <tr r="D7" s="13"/>
      </tp>
    </main>
    <main first="rtdsrv.1aa3a8d4d84048bb976c05eb55ba5a5f">
      <tp t="s">
        <v/>
        <stp/>
        <stp>Market</stp>
        <stp>FOP</stp>
        <stp>マーケットスピード II にログインして「接続中」の状態に変更してから利用してください。</stp>
        <stp>デルタ</stp>
        <tr r="L37" s="7"/>
        <tr r="L37" s="4"/>
        <tr r="L36" s="9"/>
        <tr r="L37" s="9"/>
        <tr r="L36" s="4"/>
        <tr r="L36" s="7"/>
        <tr r="L35" s="9"/>
        <tr r="L37" s="5"/>
        <tr r="L35" s="7"/>
        <tr r="L37" s="11"/>
        <tr r="L36" s="11"/>
        <tr r="L35" s="4"/>
        <tr r="L36" s="5"/>
        <tr r="L34" s="7"/>
        <tr r="L37" s="8"/>
        <tr r="L37" s="10"/>
        <tr r="L34" s="9"/>
        <tr r="L33" s="4"/>
        <tr r="L34" s="4"/>
        <tr r="L35" s="11"/>
        <tr r="L35" s="5"/>
        <tr r="L37" s="6"/>
        <tr r="L36" s="8"/>
        <tr r="L36" s="6"/>
        <tr r="L34" s="5"/>
        <tr r="L34" s="11"/>
        <tr r="L33" s="9"/>
        <tr r="L33" s="11"/>
        <tr r="L33" s="7"/>
        <tr r="L36" s="10"/>
        <tr r="L35" s="6"/>
        <tr r="L35" s="8"/>
        <tr r="L32" s="9"/>
        <tr r="L32" s="7"/>
        <tr r="L32" s="4"/>
        <tr r="L35" s="10"/>
        <tr r="L34" s="6"/>
        <tr r="L33" s="5"/>
        <tr r="L34" s="8"/>
        <tr r="L32" s="11"/>
        <tr r="L31" s="4"/>
        <tr r="L31" s="7"/>
        <tr r="L34" s="10"/>
        <tr r="L32" s="5"/>
        <tr r="L33" s="8"/>
        <tr r="L31" s="9"/>
        <tr r="L33" s="6"/>
        <tr r="L30" s="7"/>
        <tr r="L67" s="6"/>
        <tr r="L68" s="6"/>
        <tr r="L67" s="8"/>
        <tr r="L67" s="4"/>
        <tr r="L31" s="5"/>
        <tr r="L67" s="9"/>
        <tr r="L32" s="6"/>
        <tr r="L68" s="9"/>
        <tr r="L67" s="5"/>
        <tr r="L68" s="8"/>
        <tr r="L31" s="11"/>
        <tr r="L67" s="11"/>
        <tr r="L32" s="8"/>
        <tr r="L68" s="11"/>
        <tr r="L68" s="4"/>
        <tr r="L32" s="10"/>
        <tr r="L67" s="10"/>
        <tr r="L68" s="7"/>
        <tr r="L66" s="6"/>
        <tr r="L30" s="9"/>
        <tr r="L67" s="7"/>
        <tr r="L33" s="10"/>
        <tr r="L66" s="11"/>
        <tr r="L30" s="4"/>
        <tr r="L68" s="5"/>
        <tr r="L68" s="10"/>
        <tr r="L29" s="7"/>
        <tr r="L66" s="9"/>
        <tr r="L31" s="6"/>
        <tr r="L66" s="7"/>
        <tr r="L30" s="11"/>
        <tr r="L29" s="9"/>
        <tr r="L66" s="8"/>
        <tr r="L66" s="4"/>
        <tr r="L29" s="4"/>
        <tr r="L31" s="8"/>
        <tr r="L66" s="5"/>
        <tr r="L28" s="4"/>
        <tr r="L65" s="6"/>
        <tr r="L30" s="5"/>
        <tr r="L29" s="11"/>
        <tr r="L30" s="8"/>
        <tr r="L66" s="10"/>
        <tr r="L28" s="7"/>
        <tr r="L65" s="11"/>
        <tr r="L65" s="4"/>
        <tr r="L31" s="10"/>
        <tr r="L28" s="9"/>
        <tr r="L65" s="9"/>
        <tr r="L65" s="7"/>
        <tr r="L64" s="6"/>
        <tr r="L65" s="8"/>
        <tr r="L30" s="6"/>
        <tr r="L65" s="5"/>
        <tr r="L29" s="5"/>
        <tr r="L64" s="9"/>
        <tr r="L65" s="10"/>
        <tr r="L64" s="4"/>
        <tr r="L27" s="7"/>
        <tr r="L28" s="11"/>
        <tr r="L63" s="6"/>
        <tr r="L64" s="11"/>
        <tr r="L29" s="6"/>
        <tr r="L29" s="8"/>
        <tr r="L64" s="8"/>
        <tr r="L64" s="5"/>
        <tr r="L64" s="7"/>
        <tr r="L27" s="4"/>
        <tr r="L63" s="5"/>
        <tr r="L27" s="9"/>
        <tr r="L29" s="10"/>
        <tr r="L30" s="10"/>
        <tr r="L28" s="5"/>
        <tr r="L26" s="7"/>
        <tr r="L26" s="9"/>
        <tr r="L63" s="4"/>
        <tr r="L28" s="6"/>
        <tr r="L63" s="8"/>
        <tr r="L27" s="5"/>
        <tr r="L63" s="7"/>
        <tr r="L63" s="9"/>
        <tr r="L26" s="4"/>
        <tr r="L28" s="8"/>
        <tr r="L64" s="10"/>
        <tr r="L62" s="5"/>
        <tr r="L62" s="6"/>
        <tr r="L63" s="11"/>
        <tr r="L27" s="11"/>
        <tr r="L27" s="8"/>
        <tr r="L62" s="4"/>
        <tr r="L62" s="11"/>
        <tr r="L62" s="8"/>
        <tr r="L28" s="10"/>
        <tr r="L62" s="7"/>
        <tr r="L63" s="10"/>
        <tr r="L61" s="6"/>
        <tr r="L26" s="5"/>
        <tr r="L27" s="6"/>
        <tr r="L62" s="9"/>
        <tr r="L25" s="9"/>
        <tr r="L25" s="4"/>
        <tr r="L26" s="11"/>
        <tr r="L25" s="7"/>
        <tr r="L61" s="4"/>
        <tr r="L61" s="9"/>
        <tr r="L26" s="8"/>
        <tr r="L24" s="4"/>
        <tr r="L24" s="7"/>
        <tr r="L62" s="10"/>
        <tr r="L61" s="7"/>
        <tr r="L27" s="10"/>
        <tr r="L25" s="11"/>
        <tr r="L61" s="8"/>
        <tr r="L24" s="9"/>
        <tr r="L61" s="5"/>
        <tr r="L26" s="6"/>
        <tr r="L60" s="8"/>
        <tr r="L23" s="9"/>
        <tr r="L61" s="11"/>
        <tr r="L25" s="5"/>
        <tr r="L60" s="6"/>
        <tr r="L59" s="6"/>
        <tr r="L26" s="10"/>
        <tr r="L61" s="10"/>
        <tr r="L24" s="5"/>
        <tr r="L23" s="7"/>
        <tr r="L60" s="11"/>
        <tr r="L60" s="5"/>
        <tr r="L60" s="9"/>
        <tr r="L60" s="4"/>
        <tr r="L25" s="6"/>
        <tr r="L24" s="11"/>
        <tr r="L25" s="8"/>
        <tr r="L59" s="8"/>
        <tr r="L60" s="7"/>
        <tr r="L23" s="4"/>
        <tr r="L24" s="6"/>
        <tr r="L59" s="11"/>
        <tr r="L25" s="10"/>
        <tr r="L59" s="4"/>
        <tr r="L59" s="5"/>
        <tr r="L23" s="11"/>
        <tr r="L23" s="5"/>
        <tr r="L22" s="4"/>
        <tr r="L59" s="9"/>
        <tr r="L59" s="7"/>
        <tr r="L58" s="6"/>
        <tr r="L22" s="7"/>
        <tr r="L58" s="8"/>
        <tr r="L60" s="10"/>
        <tr r="L22" s="9"/>
        <tr r="L24" s="8"/>
        <tr r="L24" s="10"/>
        <tr r="L23" s="6"/>
        <tr r="L58" s="7"/>
        <tr r="L57" s="6"/>
        <tr r="L22" s="11"/>
        <tr r="L58" s="4"/>
        <tr r="L21" s="4"/>
        <tr r="L21" s="9"/>
        <tr r="L58" s="5"/>
        <tr r="L21" s="7"/>
        <tr r="L58" s="11"/>
        <tr r="L22" s="5"/>
        <tr r="L58" s="9"/>
        <tr r="L59" s="10"/>
        <tr r="L23" s="8"/>
        <tr r="L22" s="8"/>
        <tr r="L57" s="4"/>
        <tr r="L56" s="6"/>
        <tr r="L21" s="5"/>
        <tr r="L58" s="10"/>
        <tr r="L20" s="4"/>
        <tr r="L20" s="7"/>
        <tr r="L23" s="10"/>
        <tr r="L57" s="11"/>
        <tr r="L21" s="11"/>
        <tr r="L22" s="6"/>
        <tr r="L56" s="5"/>
        <tr r="L57" s="5"/>
        <tr r="L57" s="8"/>
        <tr r="L57" s="7"/>
        <tr r="L57" s="9"/>
        <tr r="L20" s="9"/>
        <tr r="L19" s="9"/>
        <tr r="L21" s="6"/>
        <tr r="L56" s="4"/>
        <tr r="L21" s="8"/>
        <tr r="L22" s="10"/>
        <tr r="L56" s="7"/>
        <tr r="L56" s="8"/>
        <tr r="L56" s="9"/>
        <tr r="L19" s="4"/>
        <tr r="L20" s="11"/>
        <tr r="L20" s="5"/>
        <tr r="L56" s="11"/>
        <tr r="L57" s="10"/>
        <tr r="L55" s="6"/>
        <tr r="L55" s="8"/>
        <tr r="L19" s="7"/>
        <tr r="L54" s="6"/>
        <tr r="L55" s="4"/>
        <tr r="L55" s="5"/>
        <tr r="L56" s="10"/>
        <tr r="L18" s="4"/>
        <tr r="L55" s="7"/>
        <tr r="L19" s="5"/>
        <tr r="L20" s="8"/>
        <tr r="L55" s="11"/>
        <tr r="L18" s="9"/>
        <tr r="L54" s="9"/>
        <tr r="L20" s="6"/>
        <tr r="L21" s="10"/>
        <tr r="L19" s="11"/>
        <tr r="L55" s="9"/>
        <tr r="L18" s="7"/>
        <tr r="L20" s="10"/>
        <tr r="L54" s="11"/>
        <tr r="L54" s="4"/>
        <tr r="L54" s="5"/>
        <tr r="L18" s="11"/>
        <tr r="L53" s="6"/>
        <tr r="L54" s="8"/>
        <tr r="L17" s="7"/>
        <tr r="L55" s="10"/>
        <tr r="L17" s="9"/>
        <tr r="L17" s="4"/>
        <tr r="L19" s="8"/>
        <tr r="L54" s="7"/>
        <tr r="L19" s="6"/>
        <tr r="L18" s="5"/>
        <tr r="L53" s="7"/>
        <tr r="L19" s="10"/>
        <tr r="L16" s="9"/>
        <tr r="L17" s="11"/>
        <tr r="L53" s="11"/>
        <tr r="L54" s="10"/>
        <tr r="L53" s="5"/>
        <tr r="L53" s="4"/>
        <tr r="L18" s="8"/>
        <tr r="L53" s="8"/>
        <tr r="L52" s="6"/>
        <tr r="L16" s="4"/>
        <tr r="L52" s="11"/>
        <tr r="L17" s="6"/>
        <tr r="L53" s="9"/>
        <tr r="L16" s="7"/>
        <tr r="L18" s="6"/>
        <tr r="L17" s="5"/>
        <tr r="L53" s="10"/>
        <tr r="L52" s="5"/>
        <tr r="L18" s="10"/>
        <tr r="L16" s="5"/>
        <tr r="L52" s="9"/>
        <tr r="L15" s="9"/>
        <tr r="L14" s="7"/>
        <tr r="L52" s="7"/>
        <tr r="L51" s="6"/>
        <tr r="L16" s="11"/>
        <tr r="L52" s="4"/>
        <tr r="L15" s="4"/>
        <tr r="L17" s="8"/>
        <tr r="L52" s="8"/>
        <tr r="L15" s="7"/>
        <tr r="L50" s="6"/>
        <tr r="L17" s="10"/>
        <tr r="L51" s="5"/>
        <tr r="L16" s="8"/>
        <tr r="L51" s="9"/>
        <tr r="L14" s="9"/>
        <tr r="L14" s="4"/>
        <tr r="L16" s="6"/>
        <tr r="L51" s="11"/>
        <tr r="L51" s="4"/>
        <tr r="L52" s="10"/>
        <tr r="L15" s="11"/>
        <tr r="L15" s="5"/>
        <tr r="L51" s="8"/>
        <tr r="L51" s="7"/>
        <tr r="L50" s="7"/>
        <tr r="L16" s="10"/>
        <tr r="L50" s="9"/>
        <tr r="L13" s="4"/>
        <tr r="L13" s="7"/>
        <tr r="L49" s="6"/>
        <tr r="L50" s="4"/>
        <tr r="L13" s="9"/>
        <tr r="L14" s="5"/>
        <tr r="L50" s="8"/>
        <tr r="L14" s="11"/>
        <tr r="L51" s="10"/>
        <tr r="L15" s="6"/>
        <tr r="L50" s="11"/>
        <tr r="L15" s="8"/>
        <tr r="L50" s="5"/>
        <tr r="L12" s="4"/>
        <tr r="L48" s="6"/>
        <tr r="L49" s="5"/>
        <tr r="L49" s="8"/>
        <tr r="L14" s="6"/>
        <tr r="L12" s="7"/>
        <tr r="L13" s="11"/>
        <tr r="L49" s="9"/>
        <tr r="L15" s="10"/>
        <tr r="L12" s="5"/>
        <tr r="L49" s="7"/>
        <tr r="L49" s="4"/>
        <tr r="L13" s="5"/>
        <tr r="L14" s="8"/>
        <tr r="L47" s="6"/>
        <tr r="L50" s="10"/>
        <tr r="L49" s="11"/>
        <tr r="L12" s="9"/>
        <tr r="L11" s="4"/>
        <tr r="L48" s="7"/>
        <tr r="L11" s="7"/>
        <tr r="L12" s="11"/>
        <tr r="L11" s="9"/>
        <tr r="L48" s="11"/>
        <tr r="L48" s="4"/>
        <tr r="L13" s="6"/>
        <tr r="L48" s="5"/>
        <tr r="L49" s="10"/>
        <tr r="L13" s="8"/>
        <tr r="L48" s="8"/>
        <tr r="L14" s="10"/>
        <tr r="L48" s="9"/>
        <tr r="L13" s="10"/>
        <tr r="L47" s="5"/>
        <tr r="L12" s="8"/>
        <tr r="L11" s="5"/>
        <tr r="L10" s="9"/>
        <tr r="L48" s="10"/>
        <tr r="L11" s="11"/>
        <tr r="L47" s="8"/>
        <tr r="L10" s="4"/>
        <tr r="L12" s="6"/>
        <tr r="L47" s="4"/>
        <tr r="L46" s="6"/>
        <tr r="L47" s="7"/>
        <tr r="L10" s="7"/>
        <tr r="L47" s="11"/>
        <tr r="L47" s="9"/>
        <tr r="L46" s="9"/>
        <tr r="L10" s="11"/>
        <tr r="L12" s="10"/>
        <tr r="L46" s="4"/>
        <tr r="L46" s="7"/>
        <tr r="L46" s="5"/>
        <tr r="L11" s="6"/>
        <tr r="L9" s="7"/>
        <tr r="L47" s="10"/>
        <tr r="L46" s="8"/>
        <tr r="L45" s="7"/>
        <tr r="L11" s="8"/>
        <tr r="L45" s="6"/>
        <tr r="L9" s="4"/>
        <tr r="L10" s="5"/>
        <tr r="L46" s="11"/>
        <tr r="L9" s="9"/>
        <tr r="L45" s="4"/>
        <tr r="L9" s="11"/>
        <tr r="L8" s="7"/>
        <tr r="L45" s="8"/>
        <tr r="L45" s="9"/>
        <tr r="L45" s="11"/>
        <tr r="L45" s="5"/>
        <tr r="L11" s="10"/>
        <tr r="L46" s="10"/>
        <tr r="L8" s="5"/>
        <tr r="L10" s="6"/>
        <tr r="L8" s="9"/>
        <tr r="L44" s="8"/>
        <tr r="L44" s="6"/>
        <tr r="L9" s="6"/>
        <tr r="L8" s="4"/>
        <tr r="L9" s="5"/>
        <tr r="L10" s="8"/>
        <tr r="L44" s="9"/>
        <tr r="L10" s="10"/>
        <tr r="L7" s="4"/>
        <tr r="L43" s="6"/>
        <tr r="L7" s="7"/>
        <tr r="L44" s="11"/>
        <tr r="L45" s="10"/>
        <tr r="L7" s="9"/>
        <tr r="L44" s="5"/>
        <tr r="L9" s="8"/>
        <tr r="L8" s="11"/>
        <tr r="L44" s="7"/>
        <tr r="L44" s="4"/>
        <tr r="L43" s="8"/>
        <tr r="L42" s="6"/>
        <tr r="L8" s="6"/>
        <tr r="L44" s="10"/>
        <tr r="L6" s="7"/>
        <tr r="L8" s="8"/>
        <tr r="L6" s="4"/>
        <tr r="L43" s="9"/>
        <tr r="L9" s="10"/>
        <tr r="L7" s="11"/>
        <tr r="L6" s="9"/>
        <tr r="L42" s="7"/>
        <tr r="L43" s="11"/>
        <tr r="L7" s="5"/>
        <tr r="L43" s="4"/>
        <tr r="L43" s="5"/>
        <tr r="L43" s="7"/>
        <tr r="L7" s="8"/>
        <tr r="L5" s="4"/>
        <tr r="L8" s="10"/>
        <tr r="L7" s="6"/>
        <tr r="L5" s="9"/>
        <tr r="L6" s="11"/>
        <tr r="L42" s="9"/>
        <tr r="L42" s="11"/>
        <tr r="L42" s="8"/>
        <tr r="L42" s="4"/>
        <tr r="L39" s="9"/>
        <tr r="L43" s="10"/>
        <tr r="L5" s="7"/>
        <tr r="L5" s="5"/>
        <tr r="L41" s="6"/>
        <tr r="L39" s="6"/>
        <tr r="L42" s="5"/>
        <tr r="L39" s="5"/>
        <tr r="L6" s="5"/>
        <tr r="L40" s="5"/>
        <tr r="L6" s="6"/>
        <tr r="L38" s="10"/>
        <tr r="L40" s="4"/>
        <tr r="L4" s="4"/>
        <tr r="L41" s="10"/>
        <tr r="L42" s="10"/>
        <tr r="L41" s="7"/>
        <tr r="L2" s="7"/>
        <tr r="L2" s="11"/>
        <tr r="L3" s="9"/>
        <tr r="L3" s="8"/>
        <tr r="L2" s="8"/>
        <tr r="L41" s="4"/>
        <tr r="L5" s="10"/>
        <tr r="L4" s="10"/>
        <tr r="L4" s="6"/>
        <tr r="L3" s="6"/>
        <tr r="L40" s="6"/>
        <tr r="L38" s="5"/>
        <tr r="L38" s="11"/>
        <tr r="L39" s="7"/>
        <tr r="L5" s="6"/>
        <tr r="L3" s="10"/>
        <tr r="L41" s="11"/>
        <tr r="L41" s="5"/>
        <tr r="L5" s="11"/>
        <tr r="L39" s="10"/>
        <tr r="L41" s="8"/>
        <tr r="L38" s="6"/>
        <tr r="L3" s="5"/>
        <tr r="L4" s="7"/>
        <tr r="L2" s="9"/>
        <tr r="L4" s="5"/>
        <tr r="L38" s="9"/>
        <tr r="L41" s="9"/>
        <tr r="L2" s="10"/>
        <tr r="L39" s="4"/>
        <tr r="L40" s="11"/>
        <tr r="L2" s="5"/>
        <tr r="L38" s="7"/>
        <tr r="L5" s="8"/>
        <tr r="L7" s="10"/>
        <tr r="L40" s="10"/>
        <tr r="L4" s="11"/>
        <tr r="L3" s="4"/>
        <tr r="L4" s="9"/>
        <tr r="L38" s="4"/>
        <tr r="L2" s="6"/>
        <tr r="L6" s="8"/>
        <tr r="L40" s="9"/>
        <tr r="L40" s="7"/>
        <tr r="L39" s="11"/>
        <tr r="L6" s="10"/>
        <tr r="L4" s="8"/>
        <tr r="L2" s="4"/>
        <tr r="L38" s="8"/>
        <tr r="L39" s="8"/>
        <tr r="L3" s="11"/>
        <tr r="L40" s="8"/>
        <tr r="L3" s="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38100</xdr:rowOff>
        </xdr:from>
        <xdr:to>
          <xdr:col>1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</xdr:row>
          <xdr:rowOff>47625</xdr:rowOff>
        </xdr:from>
        <xdr:to>
          <xdr:col>2</xdr:col>
          <xdr:colOff>285750</xdr:colOff>
          <xdr:row>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office-qa.com/Excel/ex176.htm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CB0DD-22D6-45BF-8C88-CF70D069E2D7}">
  <sheetPr codeName="Sheet1"/>
  <dimension ref="A1:G26"/>
  <sheetViews>
    <sheetView tabSelected="1" workbookViewId="0">
      <selection activeCell="H8" sqref="H8"/>
    </sheetView>
  </sheetViews>
  <sheetFormatPr defaultRowHeight="18.75" x14ac:dyDescent="0.4"/>
  <cols>
    <col min="1" max="1" width="11.125" bestFit="1" customWidth="1"/>
    <col min="2" max="3" width="11.375" bestFit="1" customWidth="1"/>
    <col min="5" max="5" width="11.375" bestFit="1" customWidth="1"/>
    <col min="6" max="6" width="14" customWidth="1"/>
    <col min="7" max="7" width="10.25" bestFit="1" customWidth="1"/>
  </cols>
  <sheetData>
    <row r="1" spans="1:7" x14ac:dyDescent="0.4">
      <c r="A1" s="3" t="s">
        <v>91</v>
      </c>
      <c r="B1" s="6"/>
      <c r="C1" s="6"/>
      <c r="D1" s="17" t="s">
        <v>74</v>
      </c>
      <c r="E1" s="18">
        <f ca="1">TODAY()</f>
        <v>45208</v>
      </c>
      <c r="F1" s="19" t="str">
        <f ca="1">IF(ISERROR(INDEX(A8:C26,MATCH(E1,A8:A26,0),3)),IF(WEEKDAY(E1,2)&gt;=6,"休日","平日"),"祝日")</f>
        <v>祝日</v>
      </c>
    </row>
    <row r="2" spans="1:7" x14ac:dyDescent="0.4">
      <c r="D2" s="17" t="s">
        <v>73</v>
      </c>
      <c r="E2" s="18">
        <f ca="1">E1-1</f>
        <v>45207</v>
      </c>
      <c r="F2" s="18" t="str">
        <f ca="1">IF(ISERROR(INDEX(A8:C26,MATCH(E2,A8:A26,0),3)),IF(WEEKDAY(E2,2)&gt;=6,"休日","平日"),"祝日")</f>
        <v>休日</v>
      </c>
    </row>
    <row r="3" spans="1:7" x14ac:dyDescent="0.4">
      <c r="F3" s="2"/>
      <c r="G3" s="6"/>
    </row>
    <row r="4" spans="1:7" x14ac:dyDescent="0.4">
      <c r="D4" s="17" t="s">
        <v>75</v>
      </c>
      <c r="E4" s="21" t="str">
        <f>E8</f>
        <v>D:\投資\RecMiniOP\data\</v>
      </c>
      <c r="F4" s="21"/>
    </row>
    <row r="5" spans="1:7" x14ac:dyDescent="0.4">
      <c r="D5" s="17" t="s">
        <v>76</v>
      </c>
      <c r="E5" s="22">
        <v>15</v>
      </c>
      <c r="F5" s="22"/>
    </row>
    <row r="6" spans="1:7" x14ac:dyDescent="0.4">
      <c r="A6" s="13" t="s">
        <v>69</v>
      </c>
    </row>
    <row r="7" spans="1:7" x14ac:dyDescent="0.4">
      <c r="A7" s="8" t="s">
        <v>66</v>
      </c>
      <c r="B7" s="9" t="s">
        <v>67</v>
      </c>
      <c r="C7" s="9" t="s">
        <v>68</v>
      </c>
      <c r="E7" s="20" t="s">
        <v>77</v>
      </c>
      <c r="F7" s="20"/>
    </row>
    <row r="8" spans="1:7" x14ac:dyDescent="0.4">
      <c r="A8" s="10">
        <v>44927</v>
      </c>
      <c r="B8" s="7" t="s">
        <v>42</v>
      </c>
      <c r="C8" s="11" t="s">
        <v>43</v>
      </c>
      <c r="E8" s="21" t="s">
        <v>92</v>
      </c>
      <c r="F8" s="21"/>
    </row>
    <row r="9" spans="1:7" x14ac:dyDescent="0.4">
      <c r="A9" s="10">
        <v>44928</v>
      </c>
      <c r="B9" s="12" t="s">
        <v>44</v>
      </c>
      <c r="C9" s="11" t="s">
        <v>45</v>
      </c>
    </row>
    <row r="10" spans="1:7" x14ac:dyDescent="0.4">
      <c r="A10" s="10">
        <v>44929</v>
      </c>
      <c r="B10" s="12" t="s">
        <v>70</v>
      </c>
      <c r="C10" s="11" t="s">
        <v>71</v>
      </c>
      <c r="E10" s="6"/>
    </row>
    <row r="11" spans="1:7" x14ac:dyDescent="0.4">
      <c r="A11" s="10">
        <v>44935</v>
      </c>
      <c r="B11" s="12" t="s">
        <v>44</v>
      </c>
      <c r="C11" s="11" t="s">
        <v>46</v>
      </c>
      <c r="E11" s="14"/>
    </row>
    <row r="12" spans="1:7" x14ac:dyDescent="0.4">
      <c r="A12" s="10">
        <v>44968</v>
      </c>
      <c r="B12" s="7" t="s">
        <v>47</v>
      </c>
      <c r="C12" s="11" t="s">
        <v>48</v>
      </c>
      <c r="E12" s="15"/>
    </row>
    <row r="13" spans="1:7" x14ac:dyDescent="0.4">
      <c r="A13" s="10">
        <v>44980</v>
      </c>
      <c r="B13" s="12" t="s">
        <v>49</v>
      </c>
      <c r="C13" s="11" t="s">
        <v>50</v>
      </c>
      <c r="E13" s="16"/>
    </row>
    <row r="14" spans="1:7" x14ac:dyDescent="0.4">
      <c r="A14" s="10">
        <v>45006</v>
      </c>
      <c r="B14" s="12" t="s">
        <v>51</v>
      </c>
      <c r="C14" s="11" t="s">
        <v>52</v>
      </c>
      <c r="E14" s="16"/>
    </row>
    <row r="15" spans="1:7" x14ac:dyDescent="0.4">
      <c r="A15" s="10">
        <v>45045</v>
      </c>
      <c r="B15" s="7" t="s">
        <v>47</v>
      </c>
      <c r="C15" s="11" t="s">
        <v>53</v>
      </c>
      <c r="E15" s="16"/>
    </row>
    <row r="16" spans="1:7" x14ac:dyDescent="0.4">
      <c r="A16" s="10">
        <v>45049</v>
      </c>
      <c r="B16" s="12" t="s">
        <v>54</v>
      </c>
      <c r="C16" s="11" t="s">
        <v>55</v>
      </c>
      <c r="E16" s="6"/>
    </row>
    <row r="17" spans="1:3" x14ac:dyDescent="0.4">
      <c r="A17" s="10">
        <v>45050</v>
      </c>
      <c r="B17" s="12" t="s">
        <v>49</v>
      </c>
      <c r="C17" s="11" t="s">
        <v>56</v>
      </c>
    </row>
    <row r="18" spans="1:3" x14ac:dyDescent="0.4">
      <c r="A18" s="10">
        <v>45051</v>
      </c>
      <c r="B18" s="12" t="s">
        <v>57</v>
      </c>
      <c r="C18" s="11" t="s">
        <v>58</v>
      </c>
    </row>
    <row r="19" spans="1:3" x14ac:dyDescent="0.4">
      <c r="A19" s="10">
        <v>45124</v>
      </c>
      <c r="B19" s="12" t="s">
        <v>44</v>
      </c>
      <c r="C19" s="11" t="s">
        <v>59</v>
      </c>
    </row>
    <row r="20" spans="1:3" x14ac:dyDescent="0.4">
      <c r="A20" s="10">
        <v>45149</v>
      </c>
      <c r="B20" s="12" t="s">
        <v>57</v>
      </c>
      <c r="C20" s="11" t="s">
        <v>60</v>
      </c>
    </row>
    <row r="21" spans="1:3" x14ac:dyDescent="0.4">
      <c r="A21" s="10">
        <v>45187</v>
      </c>
      <c r="B21" s="12" t="s">
        <v>44</v>
      </c>
      <c r="C21" s="11" t="s">
        <v>61</v>
      </c>
    </row>
    <row r="22" spans="1:3" x14ac:dyDescent="0.4">
      <c r="A22" s="10">
        <v>45192</v>
      </c>
      <c r="B22" s="7" t="s">
        <v>47</v>
      </c>
      <c r="C22" s="11" t="s">
        <v>62</v>
      </c>
    </row>
    <row r="23" spans="1:3" x14ac:dyDescent="0.4">
      <c r="A23" s="10">
        <v>45208</v>
      </c>
      <c r="B23" s="12" t="s">
        <v>44</v>
      </c>
      <c r="C23" s="11" t="s">
        <v>63</v>
      </c>
    </row>
    <row r="24" spans="1:3" x14ac:dyDescent="0.4">
      <c r="A24" s="10">
        <v>45233</v>
      </c>
      <c r="B24" s="12" t="s">
        <v>57</v>
      </c>
      <c r="C24" s="11" t="s">
        <v>64</v>
      </c>
    </row>
    <row r="25" spans="1:3" x14ac:dyDescent="0.4">
      <c r="A25" s="10">
        <v>45253</v>
      </c>
      <c r="B25" s="12" t="s">
        <v>49</v>
      </c>
      <c r="C25" s="11" t="s">
        <v>65</v>
      </c>
    </row>
    <row r="26" spans="1:3" x14ac:dyDescent="0.4">
      <c r="A26" s="10">
        <v>45291</v>
      </c>
      <c r="B26" s="12" t="s">
        <v>72</v>
      </c>
      <c r="C26" s="11" t="s">
        <v>71</v>
      </c>
    </row>
  </sheetData>
  <mergeCells count="3">
    <mergeCell ref="E4:F4"/>
    <mergeCell ref="E5:F5"/>
    <mergeCell ref="E8:F8"/>
  </mergeCells>
  <phoneticPr fontId="1"/>
  <hyperlinks>
    <hyperlink ref="A6" r:id="rId1" xr:uid="{45BDD476-540D-4C04-9889-883DF424B2A2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OnTimeStart">
                <anchor moveWithCells="1" sizeWithCells="1">
                  <from>
                    <xdr:col>0</xdr:col>
                    <xdr:colOff>28575</xdr:colOff>
                    <xdr:row>1</xdr:row>
                    <xdr:rowOff>38100</xdr:rowOff>
                  </from>
                  <to>
                    <xdr:col>1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nTimeStop">
                <anchor moveWithCells="1" sizeWithCells="1">
                  <from>
                    <xdr:col>1</xdr:col>
                    <xdr:colOff>161925</xdr:colOff>
                    <xdr:row>1</xdr:row>
                    <xdr:rowOff>47625</xdr:rowOff>
                  </from>
                  <to>
                    <xdr:col>2</xdr:col>
                    <xdr:colOff>285750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03341-C3B5-4E8E-9304-2B35A0DED0EC}">
  <sheetPr codeName="Sheet2"/>
  <dimension ref="A1:K316"/>
  <sheetViews>
    <sheetView topLeftCell="A11" workbookViewId="0">
      <selection activeCell="C17" sqref="C17"/>
    </sheetView>
  </sheetViews>
  <sheetFormatPr defaultRowHeight="18.75" x14ac:dyDescent="0.4"/>
  <cols>
    <col min="1" max="1" width="10.5" customWidth="1"/>
    <col min="3" max="3" width="12" bestFit="1" customWidth="1"/>
    <col min="4" max="4" width="15.125" bestFit="1" customWidth="1"/>
    <col min="5" max="5" width="7.125" bestFit="1" customWidth="1"/>
    <col min="7" max="8" width="14.125" bestFit="1" customWidth="1"/>
  </cols>
  <sheetData>
    <row r="1" spans="1:8" x14ac:dyDescent="0.4">
      <c r="A1" t="s">
        <v>11</v>
      </c>
      <c r="B1" t="s">
        <v>12</v>
      </c>
      <c r="C1" t="s">
        <v>17</v>
      </c>
      <c r="D1" t="s">
        <v>2</v>
      </c>
      <c r="E1" t="s">
        <v>1</v>
      </c>
      <c r="F1" s="1" t="s">
        <v>21</v>
      </c>
      <c r="G1" t="s">
        <v>9</v>
      </c>
      <c r="H1" t="s">
        <v>10</v>
      </c>
    </row>
    <row r="2" spans="1:8" x14ac:dyDescent="0.4">
      <c r="A2" t="s">
        <v>39</v>
      </c>
      <c r="B2">
        <v>202312</v>
      </c>
      <c r="C2" s="4" t="str">
        <f>_xll.RssFOPCode(A2,B2)</f>
        <v>マーケットスピード II にログインして「接続中」の状態に変更してから利用してください。</v>
      </c>
      <c r="D2" t="str">
        <f>_xll.RssFOPMarket($C2,D$1)</f>
        <v/>
      </c>
      <c r="E2" t="str">
        <f>_xll.RssFOPMarket($C2,E$1)</f>
        <v/>
      </c>
      <c r="F2" t="str">
        <f>_xll.RssFOPMarket($C2,F$1)</f>
        <v/>
      </c>
      <c r="G2" t="str">
        <f>_xll.RssFOPMarket($C2,G$1)</f>
        <v/>
      </c>
      <c r="H2" t="str">
        <f>_xll.RssFOPMarket($C2,H$1)</f>
        <v/>
      </c>
    </row>
    <row r="3" spans="1:8" x14ac:dyDescent="0.4">
      <c r="A3" t="s">
        <v>39</v>
      </c>
      <c r="B3">
        <v>202403</v>
      </c>
      <c r="C3" s="4" t="str">
        <f>_xll.RssFOPCode(A3,B3)</f>
        <v>マーケットスピード II にログインして「接続中」の状態に変更してから利用してください。</v>
      </c>
      <c r="D3" t="str">
        <f>_xll.RssFOPMarket($C3,D$1)</f>
        <v/>
      </c>
      <c r="E3" t="str">
        <f>_xll.RssFOPMarket($C3,E$1)</f>
        <v/>
      </c>
      <c r="F3" t="str">
        <f>_xll.RssFOPMarket($C3,F$1)</f>
        <v/>
      </c>
      <c r="G3" t="str">
        <f>_xll.RssFOPMarket($C3,G$1)</f>
        <v/>
      </c>
      <c r="H3" t="str">
        <f>_xll.RssFOPMarket($C3,H$1)</f>
        <v/>
      </c>
    </row>
    <row r="4" spans="1:8" x14ac:dyDescent="0.4">
      <c r="A4" t="s">
        <v>40</v>
      </c>
      <c r="B4">
        <v>202310</v>
      </c>
      <c r="C4" s="4" t="str">
        <f>_xll.RssFOPCode(A4,B4)</f>
        <v>マーケットスピード II にログインして「接続中」の状態に変更してから利用してください。</v>
      </c>
      <c r="D4" t="str">
        <f>_xll.RssFOPMarket($C4,D$1)</f>
        <v/>
      </c>
      <c r="E4" t="str">
        <f>_xll.RssFOPMarket($C4,E$1)</f>
        <v/>
      </c>
      <c r="F4" t="str">
        <f>_xll.RssFOPMarket($C4,F$1)</f>
        <v/>
      </c>
      <c r="G4" t="str">
        <f>_xll.RssFOPMarket($C4,G$1)</f>
        <v/>
      </c>
      <c r="H4" t="str">
        <f>_xll.RssFOPMarket($C4,H$1)</f>
        <v/>
      </c>
    </row>
    <row r="5" spans="1:8" x14ac:dyDescent="0.4">
      <c r="A5" t="s">
        <v>40</v>
      </c>
      <c r="B5">
        <v>202311</v>
      </c>
      <c r="C5" s="4" t="str">
        <f>_xll.RssFOPCode(A5,B5)</f>
        <v>マーケットスピード II にログインして「接続中」の状態に変更してから利用してください。</v>
      </c>
      <c r="D5" t="str">
        <f>_xll.RssFOPMarket($C5,D$1)</f>
        <v/>
      </c>
      <c r="E5" t="str">
        <f>_xll.RssFOPMarket($C5,E$1)</f>
        <v/>
      </c>
      <c r="F5" t="str">
        <f>_xll.RssFOPMarket($C5,F$1)</f>
        <v/>
      </c>
      <c r="G5" t="str">
        <f>_xll.RssFOPMarket($C5,G$1)</f>
        <v/>
      </c>
      <c r="H5" t="str">
        <f>_xll.RssFOPMarket($C5,H$1)</f>
        <v/>
      </c>
    </row>
    <row r="6" spans="1:8" x14ac:dyDescent="0.4">
      <c r="A6" t="s">
        <v>40</v>
      </c>
      <c r="B6">
        <v>202312</v>
      </c>
      <c r="C6" s="4" t="str">
        <f>_xll.RssFOPCode(A6,B6)</f>
        <v>マーケットスピード II にログインして「接続中」の状態に変更してから利用してください。</v>
      </c>
      <c r="D6" t="str">
        <f>_xll.RssFOPMarket($C6,D$1)</f>
        <v/>
      </c>
      <c r="E6" t="str">
        <f>_xll.RssFOPMarket($C6,E$1)</f>
        <v/>
      </c>
      <c r="F6" t="str">
        <f>_xll.RssFOPMarket($C6,F$1)</f>
        <v/>
      </c>
      <c r="G6" t="str">
        <f>_xll.RssFOPMarket($C6,G$1)</f>
        <v/>
      </c>
      <c r="H6" t="str">
        <f>_xll.RssFOPMarket($C6,H$1)</f>
        <v/>
      </c>
    </row>
    <row r="7" spans="1:8" x14ac:dyDescent="0.4">
      <c r="A7" t="s">
        <v>40</v>
      </c>
      <c r="B7">
        <v>202401</v>
      </c>
      <c r="C7" s="4" t="str">
        <f>_xll.RssFOPCode(A7,B7)</f>
        <v>マーケットスピード II にログインして「接続中」の状態に変更してから利用してください。</v>
      </c>
      <c r="D7" t="str">
        <f>_xll.RssFOPMarket($C7,D$1)</f>
        <v/>
      </c>
      <c r="E7" t="str">
        <f>_xll.RssFOPMarket($C7,E$1)</f>
        <v/>
      </c>
      <c r="F7" t="str">
        <f>_xll.RssFOPMarket($C7,F$1)</f>
        <v/>
      </c>
      <c r="G7" t="str">
        <f>_xll.RssFOPMarket($C7,G$1)</f>
        <v/>
      </c>
      <c r="H7" t="str">
        <f>_xll.RssFOPMarket($C7,H$1)</f>
        <v/>
      </c>
    </row>
    <row r="8" spans="1:8" x14ac:dyDescent="0.4">
      <c r="A8" t="s">
        <v>40</v>
      </c>
      <c r="B8">
        <v>202403</v>
      </c>
      <c r="C8" s="4" t="str">
        <f>_xll.RssFOPCode(A8,B8)</f>
        <v>マーケットスピード II にログインして「接続中」の状態に変更してから利用してください。</v>
      </c>
      <c r="D8" t="str">
        <f>_xll.RssFOPMarket($C8,D$1)</f>
        <v/>
      </c>
      <c r="E8" t="str">
        <f>_xll.RssFOPMarket($C8,E$1)</f>
        <v/>
      </c>
      <c r="F8" t="str">
        <f>_xll.RssFOPMarket($C8,F$1)</f>
        <v/>
      </c>
      <c r="G8" t="str">
        <f>_xll.RssFOPMarket($C8,G$1)</f>
        <v/>
      </c>
      <c r="H8" t="str">
        <f>_xll.RssFOPMarket($C8,H$1)</f>
        <v/>
      </c>
    </row>
    <row r="9" spans="1:8" x14ac:dyDescent="0.4">
      <c r="A9" t="s">
        <v>41</v>
      </c>
      <c r="B9">
        <v>202310</v>
      </c>
      <c r="C9" s="4" t="str">
        <f>_xll.RssFOPCode(A9,B9)</f>
        <v>マーケットスピード II にログインして「接続中」の状態に変更してから利用してください。</v>
      </c>
      <c r="D9" t="str">
        <f>_xll.RssFOPMarket($C9,D$1)</f>
        <v/>
      </c>
      <c r="E9" t="str">
        <f>_xll.RssFOPMarket($C9,E$1)</f>
        <v/>
      </c>
      <c r="F9" t="str">
        <f>_xll.RssFOPMarket($C9,F$1)</f>
        <v/>
      </c>
      <c r="G9" t="str">
        <f>_xll.RssFOPMarket($C9,G$1)</f>
        <v/>
      </c>
      <c r="H9" t="str">
        <f>_xll.RssFOPMarket($C9,H$1)</f>
        <v/>
      </c>
    </row>
    <row r="10" spans="1:8" x14ac:dyDescent="0.4">
      <c r="A10" t="s">
        <v>41</v>
      </c>
      <c r="B10">
        <v>202311</v>
      </c>
      <c r="C10" s="4" t="str">
        <f>_xll.RssFOPCode(A10,B10)</f>
        <v>マーケットスピード II にログインして「接続中」の状態に変更してから利用してください。</v>
      </c>
      <c r="D10" t="str">
        <f>_xll.RssFOPMarket($C10,D$1)</f>
        <v/>
      </c>
      <c r="E10" t="str">
        <f>_xll.RssFOPMarket($C10,E$1)</f>
        <v/>
      </c>
      <c r="F10" t="str">
        <f>_xll.RssFOPMarket($C10,F$1)</f>
        <v/>
      </c>
      <c r="G10" t="str">
        <f>_xll.RssFOPMarket($C10,G$1)</f>
        <v/>
      </c>
      <c r="H10" t="str">
        <f>_xll.RssFOPMarket($C10,H$1)</f>
        <v/>
      </c>
    </row>
    <row r="11" spans="1:8" x14ac:dyDescent="0.4">
      <c r="A11" t="s">
        <v>41</v>
      </c>
      <c r="B11">
        <v>202312</v>
      </c>
      <c r="C11" s="4" t="str">
        <f>_xll.RssFOPCode(A11,B11)</f>
        <v>マーケットスピード II にログインして「接続中」の状態に変更してから利用してください。</v>
      </c>
      <c r="D11" t="str">
        <f>_xll.RssFOPMarket($C11,D$1)</f>
        <v/>
      </c>
      <c r="E11" t="str">
        <f>_xll.RssFOPMarket($C11,E$1)</f>
        <v/>
      </c>
      <c r="F11" t="str">
        <f>_xll.RssFOPMarket($C11,F$1)</f>
        <v/>
      </c>
      <c r="G11" t="str">
        <f>_xll.RssFOPMarket($C11,G$1)</f>
        <v/>
      </c>
      <c r="H11" t="str">
        <f>_xll.RssFOPMarket($C11,H$1)</f>
        <v/>
      </c>
    </row>
    <row r="12" spans="1:8" x14ac:dyDescent="0.4">
      <c r="A12" t="s">
        <v>41</v>
      </c>
      <c r="B12">
        <v>202403</v>
      </c>
      <c r="C12" s="4" t="str">
        <f>_xll.RssFOPCode(A12,B12)</f>
        <v>マーケットスピード II にログインして「接続中」の状態に変更してから利用してください。</v>
      </c>
      <c r="D12" t="str">
        <f>_xll.RssFOPMarket($C12,D$1)</f>
        <v/>
      </c>
      <c r="E12" t="str">
        <f>_xll.RssFOPMarket($C12,E$1)</f>
        <v/>
      </c>
      <c r="F12" t="str">
        <f>_xll.RssFOPMarket($C12,F$1)</f>
        <v/>
      </c>
      <c r="G12" t="str">
        <f>_xll.RssFOPMarket($C12,G$1)</f>
        <v/>
      </c>
      <c r="H12" t="str">
        <f>_xll.RssFOPMarket($C12,H$1)</f>
        <v/>
      </c>
    </row>
    <row r="13" spans="1:8" x14ac:dyDescent="0.4">
      <c r="D13" s="1"/>
      <c r="E13" s="1"/>
    </row>
    <row r="21" spans="1:11" x14ac:dyDescent="0.4">
      <c r="A21" t="s">
        <v>23</v>
      </c>
      <c r="B21" t="s">
        <v>24</v>
      </c>
      <c r="C21" t="s">
        <v>26</v>
      </c>
      <c r="D21" t="s">
        <v>27</v>
      </c>
      <c r="E21" t="s">
        <v>28</v>
      </c>
      <c r="F21" t="s">
        <v>29</v>
      </c>
      <c r="G21" t="s">
        <v>30</v>
      </c>
      <c r="H21" t="s">
        <v>31</v>
      </c>
    </row>
    <row r="22" spans="1:11" x14ac:dyDescent="0.4">
      <c r="A22" t="s">
        <v>39</v>
      </c>
      <c r="B22">
        <v>202312</v>
      </c>
      <c r="C22" t="s">
        <v>87</v>
      </c>
      <c r="D22" s="2"/>
    </row>
    <row r="23" spans="1:11" x14ac:dyDescent="0.4">
      <c r="A23" t="s">
        <v>39</v>
      </c>
      <c r="B23">
        <v>202403</v>
      </c>
      <c r="C23" t="s">
        <v>87</v>
      </c>
      <c r="D23" s="2"/>
    </row>
    <row r="24" spans="1:11" x14ac:dyDescent="0.4">
      <c r="A24" t="s">
        <v>40</v>
      </c>
      <c r="B24">
        <v>202310</v>
      </c>
      <c r="C24" t="s">
        <v>87</v>
      </c>
      <c r="D24" s="2"/>
    </row>
    <row r="25" spans="1:11" x14ac:dyDescent="0.4">
      <c r="A25" t="s">
        <v>40</v>
      </c>
      <c r="B25">
        <v>202311</v>
      </c>
      <c r="C25" t="s">
        <v>87</v>
      </c>
      <c r="D25" s="2"/>
    </row>
    <row r="26" spans="1:11" x14ac:dyDescent="0.4">
      <c r="A26" s="5" t="s">
        <v>40</v>
      </c>
      <c r="B26" s="5">
        <v>202312</v>
      </c>
      <c r="C26" s="5" t="s">
        <v>87</v>
      </c>
      <c r="D26" s="2"/>
      <c r="E26" s="5"/>
      <c r="F26" s="5"/>
      <c r="G26" s="5"/>
      <c r="I26" s="5"/>
      <c r="J26" s="5"/>
      <c r="K26" s="5"/>
    </row>
    <row r="27" spans="1:11" x14ac:dyDescent="0.4">
      <c r="A27" t="s">
        <v>40</v>
      </c>
      <c r="B27">
        <v>202401</v>
      </c>
      <c r="C27" t="s">
        <v>87</v>
      </c>
      <c r="D27" s="2"/>
    </row>
    <row r="28" spans="1:11" x14ac:dyDescent="0.4">
      <c r="A28" t="s">
        <v>40</v>
      </c>
      <c r="B28">
        <v>202403</v>
      </c>
      <c r="C28" t="s">
        <v>87</v>
      </c>
      <c r="D28" s="2"/>
    </row>
    <row r="29" spans="1:11" x14ac:dyDescent="0.4">
      <c r="A29" t="s">
        <v>41</v>
      </c>
      <c r="B29">
        <v>202310</v>
      </c>
      <c r="C29" t="s">
        <v>87</v>
      </c>
      <c r="D29" s="2"/>
    </row>
    <row r="30" spans="1:11" x14ac:dyDescent="0.4">
      <c r="A30" t="s">
        <v>41</v>
      </c>
      <c r="B30">
        <v>202311</v>
      </c>
      <c r="C30" t="s">
        <v>87</v>
      </c>
      <c r="D30" s="2"/>
    </row>
    <row r="31" spans="1:11" x14ac:dyDescent="0.4">
      <c r="A31" t="s">
        <v>41</v>
      </c>
      <c r="B31">
        <v>202312</v>
      </c>
      <c r="C31" t="s">
        <v>87</v>
      </c>
      <c r="D31" s="2"/>
    </row>
    <row r="32" spans="1:11" x14ac:dyDescent="0.4">
      <c r="A32" t="s">
        <v>41</v>
      </c>
      <c r="B32">
        <v>202403</v>
      </c>
      <c r="C32" t="s">
        <v>87</v>
      </c>
      <c r="D32" s="2"/>
    </row>
    <row r="33" spans="1:4" x14ac:dyDescent="0.4">
      <c r="A33" s="5"/>
      <c r="B33" s="5"/>
      <c r="C33" s="5"/>
      <c r="D33" s="5"/>
    </row>
    <row r="101" spans="1:8" x14ac:dyDescent="0.4">
      <c r="A101" t="s">
        <v>78</v>
      </c>
      <c r="B101" t="s">
        <v>79</v>
      </c>
      <c r="C101" t="s">
        <v>80</v>
      </c>
      <c r="D101" t="s">
        <v>81</v>
      </c>
      <c r="E101" t="s">
        <v>82</v>
      </c>
      <c r="F101" t="s">
        <v>83</v>
      </c>
      <c r="G101" t="s">
        <v>84</v>
      </c>
      <c r="H101" t="s">
        <v>85</v>
      </c>
    </row>
    <row r="102" spans="1:8" x14ac:dyDescent="0.4">
      <c r="A102" t="s">
        <v>86</v>
      </c>
      <c r="B102">
        <v>202312</v>
      </c>
      <c r="C102" t="s">
        <v>87</v>
      </c>
      <c r="D102" s="2"/>
    </row>
    <row r="103" spans="1:8" x14ac:dyDescent="0.4">
      <c r="A103" t="s">
        <v>86</v>
      </c>
      <c r="B103">
        <v>202403</v>
      </c>
      <c r="C103" t="s">
        <v>87</v>
      </c>
      <c r="D103" s="2"/>
    </row>
    <row r="104" spans="1:8" x14ac:dyDescent="0.4">
      <c r="A104" t="s">
        <v>88</v>
      </c>
      <c r="B104">
        <v>202310</v>
      </c>
      <c r="C104" t="s">
        <v>87</v>
      </c>
      <c r="D104" s="2"/>
    </row>
    <row r="105" spans="1:8" x14ac:dyDescent="0.4">
      <c r="A105" t="s">
        <v>88</v>
      </c>
      <c r="B105">
        <v>202311</v>
      </c>
      <c r="C105" t="s">
        <v>87</v>
      </c>
      <c r="D105" s="2"/>
    </row>
    <row r="106" spans="1:8" x14ac:dyDescent="0.4">
      <c r="A106" t="s">
        <v>88</v>
      </c>
      <c r="B106">
        <v>202312</v>
      </c>
      <c r="C106" t="s">
        <v>87</v>
      </c>
      <c r="D106" s="2"/>
    </row>
    <row r="107" spans="1:8" x14ac:dyDescent="0.4">
      <c r="A107" t="s">
        <v>88</v>
      </c>
      <c r="B107">
        <v>202401</v>
      </c>
      <c r="C107" t="s">
        <v>87</v>
      </c>
      <c r="D107" s="2"/>
    </row>
    <row r="108" spans="1:8" x14ac:dyDescent="0.4">
      <c r="A108" t="s">
        <v>88</v>
      </c>
      <c r="B108">
        <v>202403</v>
      </c>
      <c r="C108" t="s">
        <v>87</v>
      </c>
      <c r="D108" s="2"/>
    </row>
    <row r="109" spans="1:8" x14ac:dyDescent="0.4">
      <c r="A109" t="s">
        <v>89</v>
      </c>
      <c r="B109">
        <v>202310</v>
      </c>
      <c r="C109" t="s">
        <v>87</v>
      </c>
      <c r="D109" s="2"/>
    </row>
    <row r="110" spans="1:8" x14ac:dyDescent="0.4">
      <c r="A110" t="s">
        <v>89</v>
      </c>
      <c r="B110">
        <v>202311</v>
      </c>
      <c r="C110" t="s">
        <v>87</v>
      </c>
      <c r="D110" s="2"/>
    </row>
    <row r="111" spans="1:8" x14ac:dyDescent="0.4">
      <c r="A111" t="s">
        <v>89</v>
      </c>
      <c r="B111">
        <v>202312</v>
      </c>
      <c r="C111" t="s">
        <v>87</v>
      </c>
      <c r="D111" s="2"/>
    </row>
    <row r="112" spans="1:8" x14ac:dyDescent="0.4">
      <c r="A112" t="s">
        <v>89</v>
      </c>
      <c r="B112">
        <v>202403</v>
      </c>
      <c r="C112" t="s">
        <v>87</v>
      </c>
      <c r="D112" s="2"/>
    </row>
    <row r="116" spans="1:8" x14ac:dyDescent="0.4">
      <c r="A116" s="5"/>
      <c r="B116" s="5"/>
      <c r="C116" s="5"/>
    </row>
    <row r="121" spans="1:8" x14ac:dyDescent="0.4">
      <c r="A121" t="s">
        <v>78</v>
      </c>
      <c r="B121" t="s">
        <v>79</v>
      </c>
      <c r="C121" t="s">
        <v>80</v>
      </c>
      <c r="D121" t="s">
        <v>81</v>
      </c>
      <c r="E121" t="s">
        <v>82</v>
      </c>
      <c r="F121" t="s">
        <v>83</v>
      </c>
      <c r="G121" t="s">
        <v>84</v>
      </c>
      <c r="H121" t="s">
        <v>85</v>
      </c>
    </row>
    <row r="122" spans="1:8" x14ac:dyDescent="0.4">
      <c r="A122" t="s">
        <v>86</v>
      </c>
      <c r="B122">
        <v>202312</v>
      </c>
      <c r="C122">
        <v>168120018</v>
      </c>
      <c r="D122">
        <v>0.25001157407407409</v>
      </c>
      <c r="E122">
        <v>31330</v>
      </c>
      <c r="F122">
        <v>310</v>
      </c>
      <c r="G122">
        <v>31350</v>
      </c>
      <c r="H122">
        <v>31320</v>
      </c>
    </row>
    <row r="123" spans="1:8" x14ac:dyDescent="0.4">
      <c r="A123" t="s">
        <v>86</v>
      </c>
      <c r="B123">
        <v>202403</v>
      </c>
      <c r="C123">
        <v>169030018</v>
      </c>
      <c r="D123">
        <v>0.22740740740740739</v>
      </c>
      <c r="E123">
        <v>31290</v>
      </c>
      <c r="F123">
        <v>320</v>
      </c>
      <c r="G123">
        <v>31490</v>
      </c>
      <c r="H123">
        <v>30710</v>
      </c>
    </row>
    <row r="124" spans="1:8" x14ac:dyDescent="0.4">
      <c r="A124" t="s">
        <v>88</v>
      </c>
      <c r="B124">
        <v>202310</v>
      </c>
      <c r="C124">
        <v>168100019</v>
      </c>
      <c r="D124">
        <v>0.25001157407407409</v>
      </c>
      <c r="E124">
        <v>31320</v>
      </c>
      <c r="F124">
        <v>290</v>
      </c>
      <c r="G124">
        <v>31360</v>
      </c>
      <c r="H124">
        <v>31320</v>
      </c>
    </row>
    <row r="125" spans="1:8" x14ac:dyDescent="0.4">
      <c r="A125" t="s">
        <v>88</v>
      </c>
      <c r="B125">
        <v>202311</v>
      </c>
      <c r="C125">
        <v>168110019</v>
      </c>
      <c r="D125">
        <v>0.25001157407407409</v>
      </c>
      <c r="E125">
        <v>31340</v>
      </c>
      <c r="F125">
        <v>335</v>
      </c>
      <c r="G125">
        <v>31400</v>
      </c>
      <c r="H125">
        <v>31235</v>
      </c>
    </row>
    <row r="126" spans="1:8" x14ac:dyDescent="0.4">
      <c r="A126" t="s">
        <v>88</v>
      </c>
      <c r="B126">
        <v>202312</v>
      </c>
      <c r="C126">
        <v>168120019</v>
      </c>
      <c r="D126">
        <v>0.25001157407407409</v>
      </c>
      <c r="E126">
        <v>31335</v>
      </c>
      <c r="F126">
        <v>315</v>
      </c>
      <c r="G126">
        <v>31345</v>
      </c>
      <c r="H126">
        <v>31320</v>
      </c>
    </row>
    <row r="127" spans="1:8" x14ac:dyDescent="0.4">
      <c r="A127" t="s">
        <v>88</v>
      </c>
      <c r="B127">
        <v>202401</v>
      </c>
      <c r="C127">
        <v>169010019</v>
      </c>
      <c r="D127">
        <v>0.11464120370370372</v>
      </c>
      <c r="E127">
        <v>31300</v>
      </c>
      <c r="F127">
        <v>340</v>
      </c>
      <c r="G127">
        <v>32025</v>
      </c>
      <c r="H127">
        <v>30550</v>
      </c>
    </row>
    <row r="128" spans="1:8" x14ac:dyDescent="0.4">
      <c r="A128" t="s">
        <v>88</v>
      </c>
      <c r="B128">
        <v>202403</v>
      </c>
      <c r="C128">
        <v>169030019</v>
      </c>
      <c r="D128">
        <v>0.25001157407407409</v>
      </c>
      <c r="E128">
        <v>31275</v>
      </c>
      <c r="F128">
        <v>305</v>
      </c>
      <c r="G128">
        <v>31295</v>
      </c>
      <c r="H128">
        <v>31255</v>
      </c>
    </row>
    <row r="129" spans="1:8" x14ac:dyDescent="0.4">
      <c r="A129" t="s">
        <v>89</v>
      </c>
      <c r="B129">
        <v>202310</v>
      </c>
      <c r="C129">
        <v>168100023</v>
      </c>
      <c r="D129">
        <v>0.25001157407407409</v>
      </c>
      <c r="E129">
        <v>31320</v>
      </c>
      <c r="F129">
        <v>310</v>
      </c>
      <c r="G129">
        <v>31435</v>
      </c>
      <c r="H129">
        <v>31320</v>
      </c>
    </row>
    <row r="130" spans="1:8" x14ac:dyDescent="0.4">
      <c r="A130" t="s">
        <v>89</v>
      </c>
      <c r="B130">
        <v>202311</v>
      </c>
      <c r="C130">
        <v>168110023</v>
      </c>
      <c r="D130">
        <v>0.25001157407407409</v>
      </c>
      <c r="E130">
        <v>31330</v>
      </c>
      <c r="F130">
        <v>330</v>
      </c>
      <c r="G130">
        <v>31480</v>
      </c>
      <c r="H130">
        <v>30850</v>
      </c>
    </row>
    <row r="131" spans="1:8" x14ac:dyDescent="0.4">
      <c r="A131" t="s">
        <v>89</v>
      </c>
      <c r="B131">
        <v>202312</v>
      </c>
      <c r="C131">
        <v>168120023</v>
      </c>
      <c r="D131">
        <v>0.25001157407407409</v>
      </c>
      <c r="E131">
        <v>31330</v>
      </c>
      <c r="F131">
        <v>310</v>
      </c>
      <c r="G131">
        <v>31365</v>
      </c>
      <c r="H131">
        <v>31310</v>
      </c>
    </row>
    <row r="132" spans="1:8" x14ac:dyDescent="0.4">
      <c r="A132" t="s">
        <v>89</v>
      </c>
      <c r="B132">
        <v>202403</v>
      </c>
      <c r="C132">
        <v>169030023</v>
      </c>
      <c r="D132">
        <v>0.25001157407407409</v>
      </c>
      <c r="E132">
        <v>31275</v>
      </c>
      <c r="F132">
        <v>295</v>
      </c>
      <c r="G132">
        <v>31360</v>
      </c>
      <c r="H132">
        <v>31100</v>
      </c>
    </row>
    <row r="216" spans="1:3" x14ac:dyDescent="0.4">
      <c r="A216" s="5"/>
      <c r="B216" s="5"/>
      <c r="C216" s="5"/>
    </row>
    <row r="316" spans="1:3" x14ac:dyDescent="0.4">
      <c r="A316" s="5"/>
      <c r="B316" s="5"/>
      <c r="C316" s="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320C9-8D3B-46D2-85E1-64229632210C}">
  <sheetPr codeName="Sheet3"/>
  <dimension ref="A1:Q168"/>
  <sheetViews>
    <sheetView workbookViewId="0">
      <pane ySplit="1" topLeftCell="A29" activePane="bottomLeft" state="frozen"/>
      <selection pane="bottomLeft" activeCell="E31" sqref="E31"/>
    </sheetView>
  </sheetViews>
  <sheetFormatPr defaultRowHeight="18.75" x14ac:dyDescent="0.4"/>
  <cols>
    <col min="1" max="1" width="10.25" bestFit="1" customWidth="1"/>
    <col min="2" max="2" width="9.625" bestFit="1" customWidth="1"/>
    <col min="3" max="3" width="4.875" bestFit="1" customWidth="1"/>
    <col min="4" max="4" width="9" bestFit="1" customWidth="1"/>
    <col min="5" max="5" width="11" bestFit="1" customWidth="1"/>
  </cols>
  <sheetData>
    <row r="1" spans="1:17" x14ac:dyDescent="0.4">
      <c r="A1" t="s">
        <v>11</v>
      </c>
      <c r="B1" t="s">
        <v>12</v>
      </c>
      <c r="C1" t="s">
        <v>13</v>
      </c>
      <c r="D1" t="s">
        <v>0</v>
      </c>
      <c r="E1" t="s">
        <v>17</v>
      </c>
      <c r="F1" t="s">
        <v>2</v>
      </c>
      <c r="G1" t="s">
        <v>1</v>
      </c>
      <c r="H1" s="1" t="s">
        <v>21</v>
      </c>
      <c r="I1" t="s">
        <v>9</v>
      </c>
      <c r="J1" t="s">
        <v>10</v>
      </c>
      <c r="K1" t="s">
        <v>3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s="1" t="s">
        <v>22</v>
      </c>
    </row>
    <row r="2" spans="1:17" x14ac:dyDescent="0.4">
      <c r="A2" t="s">
        <v>14</v>
      </c>
      <c r="B2">
        <v>202310</v>
      </c>
      <c r="C2" t="s">
        <v>15</v>
      </c>
      <c r="D2">
        <v>36500</v>
      </c>
      <c r="E2" t="str">
        <f>_xll.RssFOPCode(A2,B2,IF(C2="C",1,IF(C2="P",2,"")),D2)</f>
        <v>マーケットスピード II にログインして「接続中」の状態に変更してから利用してください。</v>
      </c>
      <c r="F2" t="str">
        <f>_xll.RssFOPMarket($E2,F$1)</f>
        <v/>
      </c>
      <c r="G2" t="str">
        <f>_xll.RssFOPMarket($E2,G$1)</f>
        <v/>
      </c>
      <c r="H2" t="str">
        <f>_xll.RssFOPMarket($E2,H$1)</f>
        <v/>
      </c>
      <c r="I2" t="str">
        <f>_xll.RssFOPMarket($E2,I$1)</f>
        <v/>
      </c>
      <c r="J2" t="str">
        <f>_xll.RssFOPMarket($E2,J$1)</f>
        <v/>
      </c>
      <c r="K2" t="str">
        <f>_xll.RssFOPMarket($E2,K$1)</f>
        <v/>
      </c>
      <c r="L2" t="str">
        <f>_xll.RssFOPMarket($E2,L$1)</f>
        <v/>
      </c>
      <c r="M2" t="str">
        <f>_xll.RssFOPMarket($E2,M$1)</f>
        <v/>
      </c>
      <c r="N2" t="str">
        <f>_xll.RssFOPMarket($E2,N$1)</f>
        <v/>
      </c>
      <c r="O2" t="str">
        <f>_xll.RssFOPMarket($E2,O$1)</f>
        <v/>
      </c>
      <c r="P2" t="str">
        <f>_xll.RssFOPMarket($E2,P$1)</f>
        <v/>
      </c>
      <c r="Q2" t="str">
        <f>_xll.RssFOPMarket($E2,Q$1)</f>
        <v/>
      </c>
    </row>
    <row r="3" spans="1:17" x14ac:dyDescent="0.4">
      <c r="A3" t="str">
        <f>A2</f>
        <v>N225MOP</v>
      </c>
      <c r="B3">
        <f>B2</f>
        <v>202310</v>
      </c>
      <c r="C3" t="str">
        <f>C2</f>
        <v>C</v>
      </c>
      <c r="D3">
        <f>D2-125</f>
        <v>36375</v>
      </c>
      <c r="E3" t="str">
        <f>_xll.RssFOPCode(A3,B3,IF(C3="C",1,IF(C3="P",2,"")),D3)</f>
        <v>マーケットスピード II にログインして「接続中」の状態に変更してから利用してください。</v>
      </c>
      <c r="F3" t="str">
        <f>_xll.RssFOPMarket($E3,F$1)</f>
        <v/>
      </c>
      <c r="G3" t="str">
        <f>_xll.RssFOPMarket($E3,G$1)</f>
        <v/>
      </c>
      <c r="H3" t="str">
        <f>_xll.RssFOPMarket($E3,H$1)</f>
        <v/>
      </c>
      <c r="I3" t="str">
        <f>_xll.RssFOPMarket($E3,I$1)</f>
        <v/>
      </c>
      <c r="J3" t="str">
        <f>_xll.RssFOPMarket($E3,J$1)</f>
        <v/>
      </c>
      <c r="K3" t="str">
        <f>_xll.RssFOPMarket($E3,K$1)</f>
        <v/>
      </c>
      <c r="L3" t="str">
        <f>_xll.RssFOPMarket($E3,L$1)</f>
        <v/>
      </c>
      <c r="M3" t="str">
        <f>_xll.RssFOPMarket($E3,M$1)</f>
        <v/>
      </c>
      <c r="N3" t="str">
        <f>_xll.RssFOPMarket($E3,N$1)</f>
        <v/>
      </c>
      <c r="O3" t="str">
        <f>_xll.RssFOPMarket($E3,O$1)</f>
        <v/>
      </c>
      <c r="P3" t="str">
        <f>_xll.RssFOPMarket($E3,P$1)</f>
        <v/>
      </c>
      <c r="Q3" t="str">
        <f>_xll.RssFOPMarket($E3,Q$1)</f>
        <v/>
      </c>
    </row>
    <row r="4" spans="1:17" x14ac:dyDescent="0.4">
      <c r="A4" t="str">
        <f t="shared" ref="A4:C67" si="0">A3</f>
        <v>N225MOP</v>
      </c>
      <c r="B4">
        <f t="shared" si="0"/>
        <v>202310</v>
      </c>
      <c r="C4" t="str">
        <f t="shared" si="0"/>
        <v>C</v>
      </c>
      <c r="D4">
        <f t="shared" ref="D4:D67" si="1">D3-125</f>
        <v>36250</v>
      </c>
      <c r="E4" t="str">
        <f>_xll.RssFOPCode(A4,B4,IF(C4="C",1,IF(C4="P",2,"")),D4)</f>
        <v>マーケットスピード II にログインして「接続中」の状態に変更してから利用してください。</v>
      </c>
      <c r="F4" t="str">
        <f>_xll.RssFOPMarket($E4,F$1)</f>
        <v/>
      </c>
      <c r="G4" t="str">
        <f>_xll.RssFOPMarket($E4,G$1)</f>
        <v/>
      </c>
      <c r="H4" t="str">
        <f>_xll.RssFOPMarket($E4,H$1)</f>
        <v/>
      </c>
      <c r="I4" t="str">
        <f>_xll.RssFOPMarket($E4,I$1)</f>
        <v/>
      </c>
      <c r="J4" t="str">
        <f>_xll.RssFOPMarket($E4,J$1)</f>
        <v/>
      </c>
      <c r="K4" t="str">
        <f>_xll.RssFOPMarket($E4,K$1)</f>
        <v/>
      </c>
      <c r="L4" t="str">
        <f>_xll.RssFOPMarket($E4,L$1)</f>
        <v/>
      </c>
      <c r="M4" t="str">
        <f>_xll.RssFOPMarket($E4,M$1)</f>
        <v/>
      </c>
      <c r="N4" t="str">
        <f>_xll.RssFOPMarket($E4,N$1)</f>
        <v/>
      </c>
      <c r="O4" t="str">
        <f>_xll.RssFOPMarket($E4,O$1)</f>
        <v/>
      </c>
      <c r="P4" t="str">
        <f>_xll.RssFOPMarket($E4,P$1)</f>
        <v/>
      </c>
      <c r="Q4" t="str">
        <f>_xll.RssFOPMarket($E4,Q$1)</f>
        <v/>
      </c>
    </row>
    <row r="5" spans="1:17" x14ac:dyDescent="0.4">
      <c r="A5" t="str">
        <f t="shared" si="0"/>
        <v>N225MOP</v>
      </c>
      <c r="B5">
        <f t="shared" si="0"/>
        <v>202310</v>
      </c>
      <c r="C5" t="str">
        <f t="shared" si="0"/>
        <v>C</v>
      </c>
      <c r="D5">
        <f t="shared" si="1"/>
        <v>36125</v>
      </c>
      <c r="E5" t="str">
        <f>_xll.RssFOPCode(A5,B5,IF(C5="C",1,IF(C5="P",2,"")),D5)</f>
        <v>マーケットスピード II にログインして「接続中」の状態に変更してから利用してください。</v>
      </c>
      <c r="F5" t="str">
        <f>_xll.RssFOPMarket($E5,F$1)</f>
        <v/>
      </c>
      <c r="G5" t="str">
        <f>_xll.RssFOPMarket($E5,G$1)</f>
        <v/>
      </c>
      <c r="H5" t="str">
        <f>_xll.RssFOPMarket($E5,H$1)</f>
        <v/>
      </c>
      <c r="I5" t="str">
        <f>_xll.RssFOPMarket($E5,I$1)</f>
        <v/>
      </c>
      <c r="J5" t="str">
        <f>_xll.RssFOPMarket($E5,J$1)</f>
        <v/>
      </c>
      <c r="K5" t="str">
        <f>_xll.RssFOPMarket($E5,K$1)</f>
        <v/>
      </c>
      <c r="L5" t="str">
        <f>_xll.RssFOPMarket($E5,L$1)</f>
        <v/>
      </c>
      <c r="M5" t="str">
        <f>_xll.RssFOPMarket($E5,M$1)</f>
        <v/>
      </c>
      <c r="N5" t="str">
        <f>_xll.RssFOPMarket($E5,N$1)</f>
        <v/>
      </c>
      <c r="O5" t="str">
        <f>_xll.RssFOPMarket($E5,O$1)</f>
        <v/>
      </c>
      <c r="P5" t="str">
        <f>_xll.RssFOPMarket($E5,P$1)</f>
        <v/>
      </c>
      <c r="Q5" t="str">
        <f>_xll.RssFOPMarket($E5,Q$1)</f>
        <v/>
      </c>
    </row>
    <row r="6" spans="1:17" x14ac:dyDescent="0.4">
      <c r="A6" t="str">
        <f t="shared" si="0"/>
        <v>N225MOP</v>
      </c>
      <c r="B6">
        <f t="shared" si="0"/>
        <v>202310</v>
      </c>
      <c r="C6" t="str">
        <f t="shared" si="0"/>
        <v>C</v>
      </c>
      <c r="D6">
        <f t="shared" si="1"/>
        <v>36000</v>
      </c>
      <c r="E6" t="str">
        <f>_xll.RssFOPCode(A6,B6,IF(C6="C",1,IF(C6="P",2,"")),D6)</f>
        <v>マーケットスピード II にログインして「接続中」の状態に変更してから利用してください。</v>
      </c>
      <c r="F6" t="str">
        <f>_xll.RssFOPMarket($E6,F$1)</f>
        <v/>
      </c>
      <c r="G6" t="str">
        <f>_xll.RssFOPMarket($E6,G$1)</f>
        <v/>
      </c>
      <c r="H6" t="str">
        <f>_xll.RssFOPMarket($E6,H$1)</f>
        <v/>
      </c>
      <c r="I6" t="str">
        <f>_xll.RssFOPMarket($E6,I$1)</f>
        <v/>
      </c>
      <c r="J6" t="str">
        <f>_xll.RssFOPMarket($E6,J$1)</f>
        <v/>
      </c>
      <c r="K6" t="str">
        <f>_xll.RssFOPMarket($E6,K$1)</f>
        <v/>
      </c>
      <c r="L6" t="str">
        <f>_xll.RssFOPMarket($E6,L$1)</f>
        <v/>
      </c>
      <c r="M6" t="str">
        <f>_xll.RssFOPMarket($E6,M$1)</f>
        <v/>
      </c>
      <c r="N6" t="str">
        <f>_xll.RssFOPMarket($E6,N$1)</f>
        <v/>
      </c>
      <c r="O6" t="str">
        <f>_xll.RssFOPMarket($E6,O$1)</f>
        <v/>
      </c>
      <c r="P6" t="str">
        <f>_xll.RssFOPMarket($E6,P$1)</f>
        <v/>
      </c>
      <c r="Q6" t="str">
        <f>_xll.RssFOPMarket($E6,Q$1)</f>
        <v/>
      </c>
    </row>
    <row r="7" spans="1:17" x14ac:dyDescent="0.4">
      <c r="A7" t="str">
        <f t="shared" si="0"/>
        <v>N225MOP</v>
      </c>
      <c r="B7">
        <f t="shared" si="0"/>
        <v>202310</v>
      </c>
      <c r="C7" t="str">
        <f t="shared" si="0"/>
        <v>C</v>
      </c>
      <c r="D7">
        <f t="shared" si="1"/>
        <v>35875</v>
      </c>
      <c r="E7" t="str">
        <f>_xll.RssFOPCode(A7,B7,IF(C7="C",1,IF(C7="P",2,"")),D7)</f>
        <v>マーケットスピード II にログインして「接続中」の状態に変更してから利用してください。</v>
      </c>
      <c r="F7" t="str">
        <f>_xll.RssFOPMarket($E7,F$1)</f>
        <v/>
      </c>
      <c r="G7" t="str">
        <f>_xll.RssFOPMarket($E7,G$1)</f>
        <v/>
      </c>
      <c r="H7" t="str">
        <f>_xll.RssFOPMarket($E7,H$1)</f>
        <v/>
      </c>
      <c r="I7" t="str">
        <f>_xll.RssFOPMarket($E7,I$1)</f>
        <v/>
      </c>
      <c r="J7" t="str">
        <f>_xll.RssFOPMarket($E7,J$1)</f>
        <v/>
      </c>
      <c r="K7" t="str">
        <f>_xll.RssFOPMarket($E7,K$1)</f>
        <v/>
      </c>
      <c r="L7" t="str">
        <f>_xll.RssFOPMarket($E7,L$1)</f>
        <v/>
      </c>
      <c r="M7" t="str">
        <f>_xll.RssFOPMarket($E7,M$1)</f>
        <v/>
      </c>
      <c r="N7" t="str">
        <f>_xll.RssFOPMarket($E7,N$1)</f>
        <v/>
      </c>
      <c r="O7" t="str">
        <f>_xll.RssFOPMarket($E7,O$1)</f>
        <v/>
      </c>
      <c r="P7" t="str">
        <f>_xll.RssFOPMarket($E7,P$1)</f>
        <v/>
      </c>
      <c r="Q7" t="str">
        <f>_xll.RssFOPMarket($E7,Q$1)</f>
        <v/>
      </c>
    </row>
    <row r="8" spans="1:17" x14ac:dyDescent="0.4">
      <c r="A8" t="str">
        <f t="shared" si="0"/>
        <v>N225MOP</v>
      </c>
      <c r="B8">
        <f t="shared" si="0"/>
        <v>202310</v>
      </c>
      <c r="C8" t="str">
        <f t="shared" si="0"/>
        <v>C</v>
      </c>
      <c r="D8">
        <f t="shared" si="1"/>
        <v>35750</v>
      </c>
      <c r="E8" t="str">
        <f>_xll.RssFOPCode(A8,B8,IF(C8="C",1,IF(C8="P",2,"")),D8)</f>
        <v>マーケットスピード II にログインして「接続中」の状態に変更してから利用してください。</v>
      </c>
      <c r="F8" t="str">
        <f>_xll.RssFOPMarket($E8,F$1)</f>
        <v/>
      </c>
      <c r="G8" t="str">
        <f>_xll.RssFOPMarket($E8,G$1)</f>
        <v/>
      </c>
      <c r="H8" t="str">
        <f>_xll.RssFOPMarket($E8,H$1)</f>
        <v/>
      </c>
      <c r="I8" t="str">
        <f>_xll.RssFOPMarket($E8,I$1)</f>
        <v/>
      </c>
      <c r="J8" t="str">
        <f>_xll.RssFOPMarket($E8,J$1)</f>
        <v/>
      </c>
      <c r="K8" t="str">
        <f>_xll.RssFOPMarket($E8,K$1)</f>
        <v/>
      </c>
      <c r="L8" t="str">
        <f>_xll.RssFOPMarket($E8,L$1)</f>
        <v/>
      </c>
      <c r="M8" t="str">
        <f>_xll.RssFOPMarket($E8,M$1)</f>
        <v/>
      </c>
      <c r="N8" t="str">
        <f>_xll.RssFOPMarket($E8,N$1)</f>
        <v/>
      </c>
      <c r="O8" t="str">
        <f>_xll.RssFOPMarket($E8,O$1)</f>
        <v/>
      </c>
      <c r="P8" t="str">
        <f>_xll.RssFOPMarket($E8,P$1)</f>
        <v/>
      </c>
      <c r="Q8" t="str">
        <f>_xll.RssFOPMarket($E8,Q$1)</f>
        <v/>
      </c>
    </row>
    <row r="9" spans="1:17" x14ac:dyDescent="0.4">
      <c r="A9" t="str">
        <f t="shared" si="0"/>
        <v>N225MOP</v>
      </c>
      <c r="B9">
        <f t="shared" si="0"/>
        <v>202310</v>
      </c>
      <c r="C9" t="str">
        <f t="shared" si="0"/>
        <v>C</v>
      </c>
      <c r="D9">
        <f t="shared" si="1"/>
        <v>35625</v>
      </c>
      <c r="E9" t="str">
        <f>_xll.RssFOPCode(A9,B9,IF(C9="C",1,IF(C9="P",2,"")),D9)</f>
        <v>マーケットスピード II にログインして「接続中」の状態に変更してから利用してください。</v>
      </c>
      <c r="F9" t="str">
        <f>_xll.RssFOPMarket($E9,F$1)</f>
        <v/>
      </c>
      <c r="G9" t="str">
        <f>_xll.RssFOPMarket($E9,G$1)</f>
        <v/>
      </c>
      <c r="H9" t="str">
        <f>_xll.RssFOPMarket($E9,H$1)</f>
        <v/>
      </c>
      <c r="I9" t="str">
        <f>_xll.RssFOPMarket($E9,I$1)</f>
        <v/>
      </c>
      <c r="J9" t="str">
        <f>_xll.RssFOPMarket($E9,J$1)</f>
        <v/>
      </c>
      <c r="K9" t="str">
        <f>_xll.RssFOPMarket($E9,K$1)</f>
        <v/>
      </c>
      <c r="L9" t="str">
        <f>_xll.RssFOPMarket($E9,L$1)</f>
        <v/>
      </c>
      <c r="M9" t="str">
        <f>_xll.RssFOPMarket($E9,M$1)</f>
        <v/>
      </c>
      <c r="N9" t="str">
        <f>_xll.RssFOPMarket($E9,N$1)</f>
        <v/>
      </c>
      <c r="O9" t="str">
        <f>_xll.RssFOPMarket($E9,O$1)</f>
        <v/>
      </c>
      <c r="P9" t="str">
        <f>_xll.RssFOPMarket($E9,P$1)</f>
        <v/>
      </c>
      <c r="Q9" t="str">
        <f>_xll.RssFOPMarket($E9,Q$1)</f>
        <v/>
      </c>
    </row>
    <row r="10" spans="1:17" x14ac:dyDescent="0.4">
      <c r="A10" t="str">
        <f t="shared" si="0"/>
        <v>N225MOP</v>
      </c>
      <c r="B10">
        <f t="shared" si="0"/>
        <v>202310</v>
      </c>
      <c r="C10" t="str">
        <f t="shared" si="0"/>
        <v>C</v>
      </c>
      <c r="D10">
        <f t="shared" si="1"/>
        <v>35500</v>
      </c>
      <c r="E10" t="str">
        <f>_xll.RssFOPCode(A10,B10,IF(C10="C",1,IF(C10="P",2,"")),D10)</f>
        <v>マーケットスピード II にログインして「接続中」の状態に変更してから利用してください。</v>
      </c>
      <c r="F10" t="str">
        <f>_xll.RssFOPMarket($E10,F$1)</f>
        <v/>
      </c>
      <c r="G10" t="str">
        <f>_xll.RssFOPMarket($E10,G$1)</f>
        <v/>
      </c>
      <c r="H10" t="str">
        <f>_xll.RssFOPMarket($E10,H$1)</f>
        <v/>
      </c>
      <c r="I10" t="str">
        <f>_xll.RssFOPMarket($E10,I$1)</f>
        <v/>
      </c>
      <c r="J10" t="str">
        <f>_xll.RssFOPMarket($E10,J$1)</f>
        <v/>
      </c>
      <c r="K10" t="str">
        <f>_xll.RssFOPMarket($E10,K$1)</f>
        <v/>
      </c>
      <c r="L10" t="str">
        <f>_xll.RssFOPMarket($E10,L$1)</f>
        <v/>
      </c>
      <c r="M10" t="str">
        <f>_xll.RssFOPMarket($E10,M$1)</f>
        <v/>
      </c>
      <c r="N10" t="str">
        <f>_xll.RssFOPMarket($E10,N$1)</f>
        <v/>
      </c>
      <c r="O10" t="str">
        <f>_xll.RssFOPMarket($E10,O$1)</f>
        <v/>
      </c>
      <c r="P10" t="str">
        <f>_xll.RssFOPMarket($E10,P$1)</f>
        <v/>
      </c>
      <c r="Q10" t="str">
        <f>_xll.RssFOPMarket($E10,Q$1)</f>
        <v/>
      </c>
    </row>
    <row r="11" spans="1:17" x14ac:dyDescent="0.4">
      <c r="A11" t="str">
        <f t="shared" si="0"/>
        <v>N225MOP</v>
      </c>
      <c r="B11">
        <f t="shared" si="0"/>
        <v>202310</v>
      </c>
      <c r="C11" t="str">
        <f t="shared" si="0"/>
        <v>C</v>
      </c>
      <c r="D11">
        <f t="shared" si="1"/>
        <v>35375</v>
      </c>
      <c r="E11" t="str">
        <f>_xll.RssFOPCode(A11,B11,IF(C11="C",1,IF(C11="P",2,"")),D11)</f>
        <v>マーケットスピード II にログインして「接続中」の状態に変更してから利用してください。</v>
      </c>
      <c r="F11" t="str">
        <f>_xll.RssFOPMarket($E11,F$1)</f>
        <v/>
      </c>
      <c r="G11" t="str">
        <f>_xll.RssFOPMarket($E11,G$1)</f>
        <v/>
      </c>
      <c r="H11" t="str">
        <f>_xll.RssFOPMarket($E11,H$1)</f>
        <v/>
      </c>
      <c r="I11" t="str">
        <f>_xll.RssFOPMarket($E11,I$1)</f>
        <v/>
      </c>
      <c r="J11" t="str">
        <f>_xll.RssFOPMarket($E11,J$1)</f>
        <v/>
      </c>
      <c r="K11" t="str">
        <f>_xll.RssFOPMarket($E11,K$1)</f>
        <v/>
      </c>
      <c r="L11" t="str">
        <f>_xll.RssFOPMarket($E11,L$1)</f>
        <v/>
      </c>
      <c r="M11" t="str">
        <f>_xll.RssFOPMarket($E11,M$1)</f>
        <v/>
      </c>
      <c r="N11" t="str">
        <f>_xll.RssFOPMarket($E11,N$1)</f>
        <v/>
      </c>
      <c r="O11" t="str">
        <f>_xll.RssFOPMarket($E11,O$1)</f>
        <v/>
      </c>
      <c r="P11" t="str">
        <f>_xll.RssFOPMarket($E11,P$1)</f>
        <v/>
      </c>
      <c r="Q11" t="str">
        <f>_xll.RssFOPMarket($E11,Q$1)</f>
        <v/>
      </c>
    </row>
    <row r="12" spans="1:17" x14ac:dyDescent="0.4">
      <c r="A12" t="str">
        <f t="shared" si="0"/>
        <v>N225MOP</v>
      </c>
      <c r="B12">
        <f t="shared" si="0"/>
        <v>202310</v>
      </c>
      <c r="C12" t="str">
        <f t="shared" si="0"/>
        <v>C</v>
      </c>
      <c r="D12">
        <f t="shared" si="1"/>
        <v>35250</v>
      </c>
      <c r="E12" t="str">
        <f>_xll.RssFOPCode(A12,B12,IF(C12="C",1,IF(C12="P",2,"")),D12)</f>
        <v>マーケットスピード II にログインして「接続中」の状態に変更してから利用してください。</v>
      </c>
      <c r="F12" t="str">
        <f>_xll.RssFOPMarket($E12,F$1)</f>
        <v/>
      </c>
      <c r="G12" t="str">
        <f>_xll.RssFOPMarket($E12,G$1)</f>
        <v/>
      </c>
      <c r="H12" t="str">
        <f>_xll.RssFOPMarket($E12,H$1)</f>
        <v/>
      </c>
      <c r="I12" t="str">
        <f>_xll.RssFOPMarket($E12,I$1)</f>
        <v/>
      </c>
      <c r="J12" t="str">
        <f>_xll.RssFOPMarket($E12,J$1)</f>
        <v/>
      </c>
      <c r="K12" t="str">
        <f>_xll.RssFOPMarket($E12,K$1)</f>
        <v/>
      </c>
      <c r="L12" t="str">
        <f>_xll.RssFOPMarket($E12,L$1)</f>
        <v/>
      </c>
      <c r="M12" t="str">
        <f>_xll.RssFOPMarket($E12,M$1)</f>
        <v/>
      </c>
      <c r="N12" t="str">
        <f>_xll.RssFOPMarket($E12,N$1)</f>
        <v/>
      </c>
      <c r="O12" t="str">
        <f>_xll.RssFOPMarket($E12,O$1)</f>
        <v/>
      </c>
      <c r="P12" t="str">
        <f>_xll.RssFOPMarket($E12,P$1)</f>
        <v/>
      </c>
      <c r="Q12" t="str">
        <f>_xll.RssFOPMarket($E12,Q$1)</f>
        <v/>
      </c>
    </row>
    <row r="13" spans="1:17" x14ac:dyDescent="0.4">
      <c r="A13" t="str">
        <f t="shared" si="0"/>
        <v>N225MOP</v>
      </c>
      <c r="B13">
        <f t="shared" si="0"/>
        <v>202310</v>
      </c>
      <c r="C13" t="str">
        <f t="shared" si="0"/>
        <v>C</v>
      </c>
      <c r="D13">
        <f t="shared" si="1"/>
        <v>35125</v>
      </c>
      <c r="E13" t="str">
        <f>_xll.RssFOPCode(A13,B13,IF(C13="C",1,IF(C13="P",2,"")),D13)</f>
        <v>マーケットスピード II にログインして「接続中」の状態に変更してから利用してください。</v>
      </c>
      <c r="F13" t="str">
        <f>_xll.RssFOPMarket($E13,F$1)</f>
        <v/>
      </c>
      <c r="G13" t="str">
        <f>_xll.RssFOPMarket($E13,G$1)</f>
        <v/>
      </c>
      <c r="H13" t="str">
        <f>_xll.RssFOPMarket($E13,H$1)</f>
        <v/>
      </c>
      <c r="I13" t="str">
        <f>_xll.RssFOPMarket($E13,I$1)</f>
        <v/>
      </c>
      <c r="J13" t="str">
        <f>_xll.RssFOPMarket($E13,J$1)</f>
        <v/>
      </c>
      <c r="K13" t="str">
        <f>_xll.RssFOPMarket($E13,K$1)</f>
        <v/>
      </c>
      <c r="L13" t="str">
        <f>_xll.RssFOPMarket($E13,L$1)</f>
        <v/>
      </c>
      <c r="M13" t="str">
        <f>_xll.RssFOPMarket($E13,M$1)</f>
        <v/>
      </c>
      <c r="N13" t="str">
        <f>_xll.RssFOPMarket($E13,N$1)</f>
        <v/>
      </c>
      <c r="O13" t="str">
        <f>_xll.RssFOPMarket($E13,O$1)</f>
        <v/>
      </c>
      <c r="P13" t="str">
        <f>_xll.RssFOPMarket($E13,P$1)</f>
        <v/>
      </c>
      <c r="Q13" t="str">
        <f>_xll.RssFOPMarket($E13,Q$1)</f>
        <v/>
      </c>
    </row>
    <row r="14" spans="1:17" x14ac:dyDescent="0.4">
      <c r="A14" t="str">
        <f t="shared" si="0"/>
        <v>N225MOP</v>
      </c>
      <c r="B14">
        <f t="shared" si="0"/>
        <v>202310</v>
      </c>
      <c r="C14" t="str">
        <f t="shared" si="0"/>
        <v>C</v>
      </c>
      <c r="D14">
        <f t="shared" si="1"/>
        <v>35000</v>
      </c>
      <c r="E14" t="str">
        <f>_xll.RssFOPCode(A14,B14,IF(C14="C",1,IF(C14="P",2,"")),D14)</f>
        <v>マーケットスピード II にログインして「接続中」の状態に変更してから利用してください。</v>
      </c>
      <c r="F14" t="str">
        <f>_xll.RssFOPMarket($E14,F$1)</f>
        <v/>
      </c>
      <c r="G14" t="str">
        <f>_xll.RssFOPMarket($E14,G$1)</f>
        <v/>
      </c>
      <c r="H14" t="str">
        <f>_xll.RssFOPMarket($E14,H$1)</f>
        <v/>
      </c>
      <c r="I14" t="str">
        <f>_xll.RssFOPMarket($E14,I$1)</f>
        <v/>
      </c>
      <c r="J14" t="str">
        <f>_xll.RssFOPMarket($E14,J$1)</f>
        <v/>
      </c>
      <c r="K14" t="str">
        <f>_xll.RssFOPMarket($E14,K$1)</f>
        <v/>
      </c>
      <c r="L14" t="str">
        <f>_xll.RssFOPMarket($E14,L$1)</f>
        <v/>
      </c>
      <c r="M14" t="str">
        <f>_xll.RssFOPMarket($E14,M$1)</f>
        <v/>
      </c>
      <c r="N14" t="str">
        <f>_xll.RssFOPMarket($E14,N$1)</f>
        <v/>
      </c>
      <c r="O14" t="str">
        <f>_xll.RssFOPMarket($E14,O$1)</f>
        <v/>
      </c>
      <c r="P14" t="str">
        <f>_xll.RssFOPMarket($E14,P$1)</f>
        <v/>
      </c>
      <c r="Q14" t="str">
        <f>_xll.RssFOPMarket($E14,Q$1)</f>
        <v/>
      </c>
    </row>
    <row r="15" spans="1:17" x14ac:dyDescent="0.4">
      <c r="A15" t="str">
        <f t="shared" si="0"/>
        <v>N225MOP</v>
      </c>
      <c r="B15">
        <f t="shared" si="0"/>
        <v>202310</v>
      </c>
      <c r="C15" t="str">
        <f t="shared" si="0"/>
        <v>C</v>
      </c>
      <c r="D15">
        <f t="shared" si="1"/>
        <v>34875</v>
      </c>
      <c r="E15" t="str">
        <f>_xll.RssFOPCode(A15,B15,IF(C15="C",1,IF(C15="P",2,"")),D15)</f>
        <v>マーケットスピード II にログインして「接続中」の状態に変更してから利用してください。</v>
      </c>
      <c r="F15" t="str">
        <f>_xll.RssFOPMarket($E15,F$1)</f>
        <v/>
      </c>
      <c r="G15" t="str">
        <f>_xll.RssFOPMarket($E15,G$1)</f>
        <v/>
      </c>
      <c r="H15" t="str">
        <f>_xll.RssFOPMarket($E15,H$1)</f>
        <v/>
      </c>
      <c r="I15" t="str">
        <f>_xll.RssFOPMarket($E15,I$1)</f>
        <v/>
      </c>
      <c r="J15" t="str">
        <f>_xll.RssFOPMarket($E15,J$1)</f>
        <v/>
      </c>
      <c r="K15" t="str">
        <f>_xll.RssFOPMarket($E15,K$1)</f>
        <v/>
      </c>
      <c r="L15" t="str">
        <f>_xll.RssFOPMarket($E15,L$1)</f>
        <v/>
      </c>
      <c r="M15" t="str">
        <f>_xll.RssFOPMarket($E15,M$1)</f>
        <v/>
      </c>
      <c r="N15" t="str">
        <f>_xll.RssFOPMarket($E15,N$1)</f>
        <v/>
      </c>
      <c r="O15" t="str">
        <f>_xll.RssFOPMarket($E15,O$1)</f>
        <v/>
      </c>
      <c r="P15" t="str">
        <f>_xll.RssFOPMarket($E15,P$1)</f>
        <v/>
      </c>
      <c r="Q15" t="str">
        <f>_xll.RssFOPMarket($E15,Q$1)</f>
        <v/>
      </c>
    </row>
    <row r="16" spans="1:17" x14ac:dyDescent="0.4">
      <c r="A16" t="str">
        <f t="shared" si="0"/>
        <v>N225MOP</v>
      </c>
      <c r="B16">
        <f t="shared" si="0"/>
        <v>202310</v>
      </c>
      <c r="C16" t="str">
        <f t="shared" si="0"/>
        <v>C</v>
      </c>
      <c r="D16">
        <f t="shared" si="1"/>
        <v>34750</v>
      </c>
      <c r="E16" t="str">
        <f>_xll.RssFOPCode(A16,B16,IF(C16="C",1,IF(C16="P",2,"")),D16)</f>
        <v>マーケットスピード II にログインして「接続中」の状態に変更してから利用してください。</v>
      </c>
      <c r="F16" t="str">
        <f>_xll.RssFOPMarket($E16,F$1)</f>
        <v/>
      </c>
      <c r="G16" t="str">
        <f>_xll.RssFOPMarket($E16,G$1)</f>
        <v/>
      </c>
      <c r="H16" t="str">
        <f>_xll.RssFOPMarket($E16,H$1)</f>
        <v/>
      </c>
      <c r="I16" t="str">
        <f>_xll.RssFOPMarket($E16,I$1)</f>
        <v/>
      </c>
      <c r="J16" t="str">
        <f>_xll.RssFOPMarket($E16,J$1)</f>
        <v/>
      </c>
      <c r="K16" t="str">
        <f>_xll.RssFOPMarket($E16,K$1)</f>
        <v/>
      </c>
      <c r="L16" t="str">
        <f>_xll.RssFOPMarket($E16,L$1)</f>
        <v/>
      </c>
      <c r="M16" t="str">
        <f>_xll.RssFOPMarket($E16,M$1)</f>
        <v/>
      </c>
      <c r="N16" t="str">
        <f>_xll.RssFOPMarket($E16,N$1)</f>
        <v/>
      </c>
      <c r="O16" t="str">
        <f>_xll.RssFOPMarket($E16,O$1)</f>
        <v/>
      </c>
      <c r="P16" t="str">
        <f>_xll.RssFOPMarket($E16,P$1)</f>
        <v/>
      </c>
      <c r="Q16" t="str">
        <f>_xll.RssFOPMarket($E16,Q$1)</f>
        <v/>
      </c>
    </row>
    <row r="17" spans="1:17" x14ac:dyDescent="0.4">
      <c r="A17" t="str">
        <f t="shared" si="0"/>
        <v>N225MOP</v>
      </c>
      <c r="B17">
        <f t="shared" si="0"/>
        <v>202310</v>
      </c>
      <c r="C17" t="str">
        <f t="shared" si="0"/>
        <v>C</v>
      </c>
      <c r="D17">
        <f t="shared" si="1"/>
        <v>34625</v>
      </c>
      <c r="E17" t="str">
        <f>_xll.RssFOPCode(A17,B17,IF(C17="C",1,IF(C17="P",2,"")),D17)</f>
        <v>マーケットスピード II にログインして「接続中」の状態に変更してから利用してください。</v>
      </c>
      <c r="F17" t="str">
        <f>_xll.RssFOPMarket($E17,F$1)</f>
        <v/>
      </c>
      <c r="G17" t="str">
        <f>_xll.RssFOPMarket($E17,G$1)</f>
        <v/>
      </c>
      <c r="H17" t="str">
        <f>_xll.RssFOPMarket($E17,H$1)</f>
        <v/>
      </c>
      <c r="I17" t="str">
        <f>_xll.RssFOPMarket($E17,I$1)</f>
        <v/>
      </c>
      <c r="J17" t="str">
        <f>_xll.RssFOPMarket($E17,J$1)</f>
        <v/>
      </c>
      <c r="K17" t="str">
        <f>_xll.RssFOPMarket($E17,K$1)</f>
        <v/>
      </c>
      <c r="L17" t="str">
        <f>_xll.RssFOPMarket($E17,L$1)</f>
        <v/>
      </c>
      <c r="M17" t="str">
        <f>_xll.RssFOPMarket($E17,M$1)</f>
        <v/>
      </c>
      <c r="N17" t="str">
        <f>_xll.RssFOPMarket($E17,N$1)</f>
        <v/>
      </c>
      <c r="O17" t="str">
        <f>_xll.RssFOPMarket($E17,O$1)</f>
        <v/>
      </c>
      <c r="P17" t="str">
        <f>_xll.RssFOPMarket($E17,P$1)</f>
        <v/>
      </c>
      <c r="Q17" t="str">
        <f>_xll.RssFOPMarket($E17,Q$1)</f>
        <v/>
      </c>
    </row>
    <row r="18" spans="1:17" x14ac:dyDescent="0.4">
      <c r="A18" t="str">
        <f t="shared" si="0"/>
        <v>N225MOP</v>
      </c>
      <c r="B18">
        <f t="shared" si="0"/>
        <v>202310</v>
      </c>
      <c r="C18" t="str">
        <f t="shared" si="0"/>
        <v>C</v>
      </c>
      <c r="D18">
        <f t="shared" si="1"/>
        <v>34500</v>
      </c>
      <c r="E18" t="str">
        <f>_xll.RssFOPCode(A18,B18,IF(C18="C",1,IF(C18="P",2,"")),D18)</f>
        <v>マーケットスピード II にログインして「接続中」の状態に変更してから利用してください。</v>
      </c>
      <c r="F18" t="str">
        <f>_xll.RssFOPMarket($E18,F$1)</f>
        <v/>
      </c>
      <c r="G18" t="str">
        <f>_xll.RssFOPMarket($E18,G$1)</f>
        <v/>
      </c>
      <c r="H18" t="str">
        <f>_xll.RssFOPMarket($E18,H$1)</f>
        <v/>
      </c>
      <c r="I18" t="str">
        <f>_xll.RssFOPMarket($E18,I$1)</f>
        <v/>
      </c>
      <c r="J18" t="str">
        <f>_xll.RssFOPMarket($E18,J$1)</f>
        <v/>
      </c>
      <c r="K18" t="str">
        <f>_xll.RssFOPMarket($E18,K$1)</f>
        <v/>
      </c>
      <c r="L18" t="str">
        <f>_xll.RssFOPMarket($E18,L$1)</f>
        <v/>
      </c>
      <c r="M18" t="str">
        <f>_xll.RssFOPMarket($E18,M$1)</f>
        <v/>
      </c>
      <c r="N18" t="str">
        <f>_xll.RssFOPMarket($E18,N$1)</f>
        <v/>
      </c>
      <c r="O18" t="str">
        <f>_xll.RssFOPMarket($E18,O$1)</f>
        <v/>
      </c>
      <c r="P18" t="str">
        <f>_xll.RssFOPMarket($E18,P$1)</f>
        <v/>
      </c>
      <c r="Q18" t="str">
        <f>_xll.RssFOPMarket($E18,Q$1)</f>
        <v/>
      </c>
    </row>
    <row r="19" spans="1:17" x14ac:dyDescent="0.4">
      <c r="A19" t="str">
        <f t="shared" si="0"/>
        <v>N225MOP</v>
      </c>
      <c r="B19">
        <f t="shared" si="0"/>
        <v>202310</v>
      </c>
      <c r="C19" t="str">
        <f t="shared" si="0"/>
        <v>C</v>
      </c>
      <c r="D19">
        <f t="shared" si="1"/>
        <v>34375</v>
      </c>
      <c r="E19" t="str">
        <f>_xll.RssFOPCode(A19,B19,IF(C19="C",1,IF(C19="P",2,"")),D19)</f>
        <v>マーケットスピード II にログインして「接続中」の状態に変更してから利用してください。</v>
      </c>
      <c r="F19" t="str">
        <f>_xll.RssFOPMarket($E19,F$1)</f>
        <v/>
      </c>
      <c r="G19" t="str">
        <f>_xll.RssFOPMarket($E19,G$1)</f>
        <v/>
      </c>
      <c r="H19" t="str">
        <f>_xll.RssFOPMarket($E19,H$1)</f>
        <v/>
      </c>
      <c r="I19" t="str">
        <f>_xll.RssFOPMarket($E19,I$1)</f>
        <v/>
      </c>
      <c r="J19" t="str">
        <f>_xll.RssFOPMarket($E19,J$1)</f>
        <v/>
      </c>
      <c r="K19" t="str">
        <f>_xll.RssFOPMarket($E19,K$1)</f>
        <v/>
      </c>
      <c r="L19" t="str">
        <f>_xll.RssFOPMarket($E19,L$1)</f>
        <v/>
      </c>
      <c r="M19" t="str">
        <f>_xll.RssFOPMarket($E19,M$1)</f>
        <v/>
      </c>
      <c r="N19" t="str">
        <f>_xll.RssFOPMarket($E19,N$1)</f>
        <v/>
      </c>
      <c r="O19" t="str">
        <f>_xll.RssFOPMarket($E19,O$1)</f>
        <v/>
      </c>
      <c r="P19" t="str">
        <f>_xll.RssFOPMarket($E19,P$1)</f>
        <v/>
      </c>
      <c r="Q19" t="str">
        <f>_xll.RssFOPMarket($E19,Q$1)</f>
        <v/>
      </c>
    </row>
    <row r="20" spans="1:17" x14ac:dyDescent="0.4">
      <c r="A20" t="str">
        <f t="shared" si="0"/>
        <v>N225MOP</v>
      </c>
      <c r="B20">
        <f t="shared" si="0"/>
        <v>202310</v>
      </c>
      <c r="C20" t="str">
        <f t="shared" si="0"/>
        <v>C</v>
      </c>
      <c r="D20">
        <f t="shared" si="1"/>
        <v>34250</v>
      </c>
      <c r="E20" t="str">
        <f>_xll.RssFOPCode(A20,B20,IF(C20="C",1,IF(C20="P",2,"")),D20)</f>
        <v>マーケットスピード II にログインして「接続中」の状態に変更してから利用してください。</v>
      </c>
      <c r="F20" t="str">
        <f>_xll.RssFOPMarket($E20,F$1)</f>
        <v/>
      </c>
      <c r="G20" t="str">
        <f>_xll.RssFOPMarket($E20,G$1)</f>
        <v/>
      </c>
      <c r="H20" t="str">
        <f>_xll.RssFOPMarket($E20,H$1)</f>
        <v/>
      </c>
      <c r="I20" t="str">
        <f>_xll.RssFOPMarket($E20,I$1)</f>
        <v/>
      </c>
      <c r="J20" t="str">
        <f>_xll.RssFOPMarket($E20,J$1)</f>
        <v/>
      </c>
      <c r="K20" t="str">
        <f>_xll.RssFOPMarket($E20,K$1)</f>
        <v/>
      </c>
      <c r="L20" t="str">
        <f>_xll.RssFOPMarket($E20,L$1)</f>
        <v/>
      </c>
      <c r="M20" t="str">
        <f>_xll.RssFOPMarket($E20,M$1)</f>
        <v/>
      </c>
      <c r="N20" t="str">
        <f>_xll.RssFOPMarket($E20,N$1)</f>
        <v/>
      </c>
      <c r="O20" t="str">
        <f>_xll.RssFOPMarket($E20,O$1)</f>
        <v/>
      </c>
      <c r="P20" t="str">
        <f>_xll.RssFOPMarket($E20,P$1)</f>
        <v/>
      </c>
      <c r="Q20" t="str">
        <f>_xll.RssFOPMarket($E20,Q$1)</f>
        <v/>
      </c>
    </row>
    <row r="21" spans="1:17" x14ac:dyDescent="0.4">
      <c r="A21" t="str">
        <f t="shared" si="0"/>
        <v>N225MOP</v>
      </c>
      <c r="B21">
        <f t="shared" si="0"/>
        <v>202310</v>
      </c>
      <c r="C21" t="str">
        <f t="shared" si="0"/>
        <v>C</v>
      </c>
      <c r="D21">
        <f t="shared" si="1"/>
        <v>34125</v>
      </c>
      <c r="E21" t="str">
        <f>_xll.RssFOPCode(A21,B21,IF(C21="C",1,IF(C21="P",2,"")),D21)</f>
        <v>マーケットスピード II にログインして「接続中」の状態に変更してから利用してください。</v>
      </c>
      <c r="F21" t="str">
        <f>_xll.RssFOPMarket($E21,F$1)</f>
        <v/>
      </c>
      <c r="G21" t="str">
        <f>_xll.RssFOPMarket($E21,G$1)</f>
        <v/>
      </c>
      <c r="H21" t="str">
        <f>_xll.RssFOPMarket($E21,H$1)</f>
        <v/>
      </c>
      <c r="I21" t="str">
        <f>_xll.RssFOPMarket($E21,I$1)</f>
        <v/>
      </c>
      <c r="J21" t="str">
        <f>_xll.RssFOPMarket($E21,J$1)</f>
        <v/>
      </c>
      <c r="K21" t="str">
        <f>_xll.RssFOPMarket($E21,K$1)</f>
        <v/>
      </c>
      <c r="L21" t="str">
        <f>_xll.RssFOPMarket($E21,L$1)</f>
        <v/>
      </c>
      <c r="M21" t="str">
        <f>_xll.RssFOPMarket($E21,M$1)</f>
        <v/>
      </c>
      <c r="N21" t="str">
        <f>_xll.RssFOPMarket($E21,N$1)</f>
        <v/>
      </c>
      <c r="O21" t="str">
        <f>_xll.RssFOPMarket($E21,O$1)</f>
        <v/>
      </c>
      <c r="P21" t="str">
        <f>_xll.RssFOPMarket($E21,P$1)</f>
        <v/>
      </c>
      <c r="Q21" t="str">
        <f>_xll.RssFOPMarket($E21,Q$1)</f>
        <v/>
      </c>
    </row>
    <row r="22" spans="1:17" x14ac:dyDescent="0.4">
      <c r="A22" t="str">
        <f t="shared" si="0"/>
        <v>N225MOP</v>
      </c>
      <c r="B22">
        <f t="shared" si="0"/>
        <v>202310</v>
      </c>
      <c r="C22" t="str">
        <f t="shared" si="0"/>
        <v>C</v>
      </c>
      <c r="D22">
        <f t="shared" si="1"/>
        <v>34000</v>
      </c>
      <c r="E22" t="str">
        <f>_xll.RssFOPCode(A22,B22,IF(C22="C",1,IF(C22="P",2,"")),D22)</f>
        <v>マーケットスピード II にログインして「接続中」の状態に変更してから利用してください。</v>
      </c>
      <c r="F22" t="str">
        <f>_xll.RssFOPMarket($E22,F$1)</f>
        <v/>
      </c>
      <c r="G22" t="str">
        <f>_xll.RssFOPMarket($E22,G$1)</f>
        <v/>
      </c>
      <c r="H22" t="str">
        <f>_xll.RssFOPMarket($E22,H$1)</f>
        <v/>
      </c>
      <c r="I22" t="str">
        <f>_xll.RssFOPMarket($E22,I$1)</f>
        <v/>
      </c>
      <c r="J22" t="str">
        <f>_xll.RssFOPMarket($E22,J$1)</f>
        <v/>
      </c>
      <c r="K22" t="str">
        <f>_xll.RssFOPMarket($E22,K$1)</f>
        <v/>
      </c>
      <c r="L22" t="str">
        <f>_xll.RssFOPMarket($E22,L$1)</f>
        <v/>
      </c>
      <c r="M22" t="str">
        <f>_xll.RssFOPMarket($E22,M$1)</f>
        <v/>
      </c>
      <c r="N22" t="str">
        <f>_xll.RssFOPMarket($E22,N$1)</f>
        <v/>
      </c>
      <c r="O22" t="str">
        <f>_xll.RssFOPMarket($E22,O$1)</f>
        <v/>
      </c>
      <c r="P22" t="str">
        <f>_xll.RssFOPMarket($E22,P$1)</f>
        <v/>
      </c>
      <c r="Q22" t="str">
        <f>_xll.RssFOPMarket($E22,Q$1)</f>
        <v/>
      </c>
    </row>
    <row r="23" spans="1:17" x14ac:dyDescent="0.4">
      <c r="A23" t="str">
        <f t="shared" si="0"/>
        <v>N225MOP</v>
      </c>
      <c r="B23">
        <f t="shared" si="0"/>
        <v>202310</v>
      </c>
      <c r="C23" t="str">
        <f t="shared" si="0"/>
        <v>C</v>
      </c>
      <c r="D23">
        <f t="shared" si="1"/>
        <v>33875</v>
      </c>
      <c r="E23" t="str">
        <f>_xll.RssFOPCode(A23,B23,IF(C23="C",1,IF(C23="P",2,"")),D23)</f>
        <v>マーケットスピード II にログインして「接続中」の状態に変更してから利用してください。</v>
      </c>
      <c r="F23" t="str">
        <f>_xll.RssFOPMarket($E23,F$1)</f>
        <v/>
      </c>
      <c r="G23" t="str">
        <f>_xll.RssFOPMarket($E23,G$1)</f>
        <v/>
      </c>
      <c r="H23" t="str">
        <f>_xll.RssFOPMarket($E23,H$1)</f>
        <v/>
      </c>
      <c r="I23" t="str">
        <f>_xll.RssFOPMarket($E23,I$1)</f>
        <v/>
      </c>
      <c r="J23" t="str">
        <f>_xll.RssFOPMarket($E23,J$1)</f>
        <v/>
      </c>
      <c r="K23" t="str">
        <f>_xll.RssFOPMarket($E23,K$1)</f>
        <v/>
      </c>
      <c r="L23" t="str">
        <f>_xll.RssFOPMarket($E23,L$1)</f>
        <v/>
      </c>
      <c r="M23" t="str">
        <f>_xll.RssFOPMarket($E23,M$1)</f>
        <v/>
      </c>
      <c r="N23" t="str">
        <f>_xll.RssFOPMarket($E23,N$1)</f>
        <v/>
      </c>
      <c r="O23" t="str">
        <f>_xll.RssFOPMarket($E23,O$1)</f>
        <v/>
      </c>
      <c r="P23" t="str">
        <f>_xll.RssFOPMarket($E23,P$1)</f>
        <v/>
      </c>
      <c r="Q23" t="str">
        <f>_xll.RssFOPMarket($E23,Q$1)</f>
        <v/>
      </c>
    </row>
    <row r="24" spans="1:17" x14ac:dyDescent="0.4">
      <c r="A24" t="str">
        <f t="shared" si="0"/>
        <v>N225MOP</v>
      </c>
      <c r="B24">
        <f t="shared" si="0"/>
        <v>202310</v>
      </c>
      <c r="C24" t="str">
        <f t="shared" si="0"/>
        <v>C</v>
      </c>
      <c r="D24">
        <f t="shared" si="1"/>
        <v>33750</v>
      </c>
      <c r="E24" t="str">
        <f>_xll.RssFOPCode(A24,B24,IF(C24="C",1,IF(C24="P",2,"")),D24)</f>
        <v>マーケットスピード II にログインして「接続中」の状態に変更してから利用してください。</v>
      </c>
      <c r="F24" t="str">
        <f>_xll.RssFOPMarket($E24,F$1)</f>
        <v/>
      </c>
      <c r="G24" t="str">
        <f>_xll.RssFOPMarket($E24,G$1)</f>
        <v/>
      </c>
      <c r="H24" t="str">
        <f>_xll.RssFOPMarket($E24,H$1)</f>
        <v/>
      </c>
      <c r="I24" t="str">
        <f>_xll.RssFOPMarket($E24,I$1)</f>
        <v/>
      </c>
      <c r="J24" t="str">
        <f>_xll.RssFOPMarket($E24,J$1)</f>
        <v/>
      </c>
      <c r="K24" t="str">
        <f>_xll.RssFOPMarket($E24,K$1)</f>
        <v/>
      </c>
      <c r="L24" t="str">
        <f>_xll.RssFOPMarket($E24,L$1)</f>
        <v/>
      </c>
      <c r="M24" t="str">
        <f>_xll.RssFOPMarket($E24,M$1)</f>
        <v/>
      </c>
      <c r="N24" t="str">
        <f>_xll.RssFOPMarket($E24,N$1)</f>
        <v/>
      </c>
      <c r="O24" t="str">
        <f>_xll.RssFOPMarket($E24,O$1)</f>
        <v/>
      </c>
      <c r="P24" t="str">
        <f>_xll.RssFOPMarket($E24,P$1)</f>
        <v/>
      </c>
      <c r="Q24" t="str">
        <f>_xll.RssFOPMarket($E24,Q$1)</f>
        <v/>
      </c>
    </row>
    <row r="25" spans="1:17" x14ac:dyDescent="0.4">
      <c r="A25" t="str">
        <f t="shared" si="0"/>
        <v>N225MOP</v>
      </c>
      <c r="B25">
        <f t="shared" si="0"/>
        <v>202310</v>
      </c>
      <c r="C25" t="str">
        <f t="shared" si="0"/>
        <v>C</v>
      </c>
      <c r="D25">
        <f t="shared" si="1"/>
        <v>33625</v>
      </c>
      <c r="E25" t="str">
        <f>_xll.RssFOPCode(A25,B25,IF(C25="C",1,IF(C25="P",2,"")),D25)</f>
        <v>マーケットスピード II にログインして「接続中」の状態に変更してから利用してください。</v>
      </c>
      <c r="F25" t="str">
        <f>_xll.RssFOPMarket($E25,F$1)</f>
        <v/>
      </c>
      <c r="G25" t="str">
        <f>_xll.RssFOPMarket($E25,G$1)</f>
        <v/>
      </c>
      <c r="H25" t="str">
        <f>_xll.RssFOPMarket($E25,H$1)</f>
        <v/>
      </c>
      <c r="I25" t="str">
        <f>_xll.RssFOPMarket($E25,I$1)</f>
        <v/>
      </c>
      <c r="J25" t="str">
        <f>_xll.RssFOPMarket($E25,J$1)</f>
        <v/>
      </c>
      <c r="K25" t="str">
        <f>_xll.RssFOPMarket($E25,K$1)</f>
        <v/>
      </c>
      <c r="L25" t="str">
        <f>_xll.RssFOPMarket($E25,L$1)</f>
        <v/>
      </c>
      <c r="M25" t="str">
        <f>_xll.RssFOPMarket($E25,M$1)</f>
        <v/>
      </c>
      <c r="N25" t="str">
        <f>_xll.RssFOPMarket($E25,N$1)</f>
        <v/>
      </c>
      <c r="O25" t="str">
        <f>_xll.RssFOPMarket($E25,O$1)</f>
        <v/>
      </c>
      <c r="P25" t="str">
        <f>_xll.RssFOPMarket($E25,P$1)</f>
        <v/>
      </c>
      <c r="Q25" t="str">
        <f>_xll.RssFOPMarket($E25,Q$1)</f>
        <v/>
      </c>
    </row>
    <row r="26" spans="1:17" x14ac:dyDescent="0.4">
      <c r="A26" t="str">
        <f t="shared" si="0"/>
        <v>N225MOP</v>
      </c>
      <c r="B26">
        <f t="shared" si="0"/>
        <v>202310</v>
      </c>
      <c r="C26" t="str">
        <f t="shared" si="0"/>
        <v>C</v>
      </c>
      <c r="D26">
        <f t="shared" si="1"/>
        <v>33500</v>
      </c>
      <c r="E26" t="str">
        <f>_xll.RssFOPCode(A26,B26,IF(C26="C",1,IF(C26="P",2,"")),D26)</f>
        <v>マーケットスピード II にログインして「接続中」の状態に変更してから利用してください。</v>
      </c>
      <c r="F26" t="str">
        <f>_xll.RssFOPMarket($E26,F$1)</f>
        <v/>
      </c>
      <c r="G26" t="str">
        <f>_xll.RssFOPMarket($E26,G$1)</f>
        <v/>
      </c>
      <c r="H26" t="str">
        <f>_xll.RssFOPMarket($E26,H$1)</f>
        <v/>
      </c>
      <c r="I26" t="str">
        <f>_xll.RssFOPMarket($E26,I$1)</f>
        <v/>
      </c>
      <c r="J26" t="str">
        <f>_xll.RssFOPMarket($E26,J$1)</f>
        <v/>
      </c>
      <c r="K26" t="str">
        <f>_xll.RssFOPMarket($E26,K$1)</f>
        <v/>
      </c>
      <c r="L26" t="str">
        <f>_xll.RssFOPMarket($E26,L$1)</f>
        <v/>
      </c>
      <c r="M26" t="str">
        <f>_xll.RssFOPMarket($E26,M$1)</f>
        <v/>
      </c>
      <c r="N26" t="str">
        <f>_xll.RssFOPMarket($E26,N$1)</f>
        <v/>
      </c>
      <c r="O26" t="str">
        <f>_xll.RssFOPMarket($E26,O$1)</f>
        <v/>
      </c>
      <c r="P26" t="str">
        <f>_xll.RssFOPMarket($E26,P$1)</f>
        <v/>
      </c>
      <c r="Q26" t="str">
        <f>_xll.RssFOPMarket($E26,Q$1)</f>
        <v/>
      </c>
    </row>
    <row r="27" spans="1:17" x14ac:dyDescent="0.4">
      <c r="A27" t="str">
        <f t="shared" si="0"/>
        <v>N225MOP</v>
      </c>
      <c r="B27">
        <f t="shared" si="0"/>
        <v>202310</v>
      </c>
      <c r="C27" t="str">
        <f t="shared" si="0"/>
        <v>C</v>
      </c>
      <c r="D27">
        <f t="shared" si="1"/>
        <v>33375</v>
      </c>
      <c r="E27" t="str">
        <f>_xll.RssFOPCode(A27,B27,IF(C27="C",1,IF(C27="P",2,"")),D27)</f>
        <v>マーケットスピード II にログインして「接続中」の状態に変更してから利用してください。</v>
      </c>
      <c r="F27" t="str">
        <f>_xll.RssFOPMarket($E27,F$1)</f>
        <v/>
      </c>
      <c r="G27" t="str">
        <f>_xll.RssFOPMarket($E27,G$1)</f>
        <v/>
      </c>
      <c r="H27" t="str">
        <f>_xll.RssFOPMarket($E27,H$1)</f>
        <v/>
      </c>
      <c r="I27" t="str">
        <f>_xll.RssFOPMarket($E27,I$1)</f>
        <v/>
      </c>
      <c r="J27" t="str">
        <f>_xll.RssFOPMarket($E27,J$1)</f>
        <v/>
      </c>
      <c r="K27" t="str">
        <f>_xll.RssFOPMarket($E27,K$1)</f>
        <v/>
      </c>
      <c r="L27" t="str">
        <f>_xll.RssFOPMarket($E27,L$1)</f>
        <v/>
      </c>
      <c r="M27" t="str">
        <f>_xll.RssFOPMarket($E27,M$1)</f>
        <v/>
      </c>
      <c r="N27" t="str">
        <f>_xll.RssFOPMarket($E27,N$1)</f>
        <v/>
      </c>
      <c r="O27" t="str">
        <f>_xll.RssFOPMarket($E27,O$1)</f>
        <v/>
      </c>
      <c r="P27" t="str">
        <f>_xll.RssFOPMarket($E27,P$1)</f>
        <v/>
      </c>
      <c r="Q27" t="str">
        <f>_xll.RssFOPMarket($E27,Q$1)</f>
        <v/>
      </c>
    </row>
    <row r="28" spans="1:17" x14ac:dyDescent="0.4">
      <c r="A28" t="str">
        <f t="shared" si="0"/>
        <v>N225MOP</v>
      </c>
      <c r="B28">
        <f t="shared" si="0"/>
        <v>202310</v>
      </c>
      <c r="C28" t="str">
        <f t="shared" si="0"/>
        <v>C</v>
      </c>
      <c r="D28">
        <f t="shared" si="1"/>
        <v>33250</v>
      </c>
      <c r="E28" t="str">
        <f>_xll.RssFOPCode(A28,B28,IF(C28="C",1,IF(C28="P",2,"")),D28)</f>
        <v>マーケットスピード II にログインして「接続中」の状態に変更してから利用してください。</v>
      </c>
      <c r="F28" t="str">
        <f>_xll.RssFOPMarket($E28,F$1)</f>
        <v/>
      </c>
      <c r="G28" t="str">
        <f>_xll.RssFOPMarket($E28,G$1)</f>
        <v/>
      </c>
      <c r="H28" t="str">
        <f>_xll.RssFOPMarket($E28,H$1)</f>
        <v/>
      </c>
      <c r="I28" t="str">
        <f>_xll.RssFOPMarket($E28,I$1)</f>
        <v/>
      </c>
      <c r="J28" t="str">
        <f>_xll.RssFOPMarket($E28,J$1)</f>
        <v/>
      </c>
      <c r="K28" t="str">
        <f>_xll.RssFOPMarket($E28,K$1)</f>
        <v/>
      </c>
      <c r="L28" t="str">
        <f>_xll.RssFOPMarket($E28,L$1)</f>
        <v/>
      </c>
      <c r="M28" t="str">
        <f>_xll.RssFOPMarket($E28,M$1)</f>
        <v/>
      </c>
      <c r="N28" t="str">
        <f>_xll.RssFOPMarket($E28,N$1)</f>
        <v/>
      </c>
      <c r="O28" t="str">
        <f>_xll.RssFOPMarket($E28,O$1)</f>
        <v/>
      </c>
      <c r="P28" t="str">
        <f>_xll.RssFOPMarket($E28,P$1)</f>
        <v/>
      </c>
      <c r="Q28" t="str">
        <f>_xll.RssFOPMarket($E28,Q$1)</f>
        <v/>
      </c>
    </row>
    <row r="29" spans="1:17" x14ac:dyDescent="0.4">
      <c r="A29" t="str">
        <f t="shared" si="0"/>
        <v>N225MOP</v>
      </c>
      <c r="B29">
        <f t="shared" si="0"/>
        <v>202310</v>
      </c>
      <c r="C29" t="str">
        <f t="shared" si="0"/>
        <v>C</v>
      </c>
      <c r="D29">
        <f t="shared" si="1"/>
        <v>33125</v>
      </c>
      <c r="E29" t="str">
        <f>_xll.RssFOPCode(A29,B29,IF(C29="C",1,IF(C29="P",2,"")),D29)</f>
        <v>マーケットスピード II にログインして「接続中」の状態に変更してから利用してください。</v>
      </c>
      <c r="F29" t="str">
        <f>_xll.RssFOPMarket($E29,F$1)</f>
        <v/>
      </c>
      <c r="G29" t="str">
        <f>_xll.RssFOPMarket($E29,G$1)</f>
        <v/>
      </c>
      <c r="H29" t="str">
        <f>_xll.RssFOPMarket($E29,H$1)</f>
        <v/>
      </c>
      <c r="I29" t="str">
        <f>_xll.RssFOPMarket($E29,I$1)</f>
        <v/>
      </c>
      <c r="J29" t="str">
        <f>_xll.RssFOPMarket($E29,J$1)</f>
        <v/>
      </c>
      <c r="K29" t="str">
        <f>_xll.RssFOPMarket($E29,K$1)</f>
        <v/>
      </c>
      <c r="L29" t="str">
        <f>_xll.RssFOPMarket($E29,L$1)</f>
        <v/>
      </c>
      <c r="M29" t="str">
        <f>_xll.RssFOPMarket($E29,M$1)</f>
        <v/>
      </c>
      <c r="N29" t="str">
        <f>_xll.RssFOPMarket($E29,N$1)</f>
        <v/>
      </c>
      <c r="O29" t="str">
        <f>_xll.RssFOPMarket($E29,O$1)</f>
        <v/>
      </c>
      <c r="P29" t="str">
        <f>_xll.RssFOPMarket($E29,P$1)</f>
        <v/>
      </c>
      <c r="Q29" t="str">
        <f>_xll.RssFOPMarket($E29,Q$1)</f>
        <v/>
      </c>
    </row>
    <row r="30" spans="1:17" x14ac:dyDescent="0.4">
      <c r="A30" t="str">
        <f t="shared" si="0"/>
        <v>N225MOP</v>
      </c>
      <c r="B30">
        <f t="shared" si="0"/>
        <v>202310</v>
      </c>
      <c r="C30" t="str">
        <f t="shared" si="0"/>
        <v>C</v>
      </c>
      <c r="D30">
        <f t="shared" si="1"/>
        <v>33000</v>
      </c>
      <c r="E30" t="str">
        <f>_xll.RssFOPCode(A30,B30,IF(C30="C",1,IF(C30="P",2,"")),D30)</f>
        <v>マーケットスピード II にログインして「接続中」の状態に変更してから利用してください。</v>
      </c>
      <c r="F30" t="str">
        <f>_xll.RssFOPMarket($E30,F$1)</f>
        <v/>
      </c>
      <c r="G30" t="str">
        <f>_xll.RssFOPMarket($E30,G$1)</f>
        <v/>
      </c>
      <c r="H30" t="str">
        <f>_xll.RssFOPMarket($E30,H$1)</f>
        <v/>
      </c>
      <c r="I30" t="str">
        <f>_xll.RssFOPMarket($E30,I$1)</f>
        <v/>
      </c>
      <c r="J30" t="str">
        <f>_xll.RssFOPMarket($E30,J$1)</f>
        <v/>
      </c>
      <c r="K30" t="str">
        <f>_xll.RssFOPMarket($E30,K$1)</f>
        <v/>
      </c>
      <c r="L30" t="str">
        <f>_xll.RssFOPMarket($E30,L$1)</f>
        <v/>
      </c>
      <c r="M30" t="str">
        <f>_xll.RssFOPMarket($E30,M$1)</f>
        <v/>
      </c>
      <c r="N30" t="str">
        <f>_xll.RssFOPMarket($E30,N$1)</f>
        <v/>
      </c>
      <c r="O30" t="str">
        <f>_xll.RssFOPMarket($E30,O$1)</f>
        <v/>
      </c>
      <c r="P30" t="str">
        <f>_xll.RssFOPMarket($E30,P$1)</f>
        <v/>
      </c>
      <c r="Q30" t="str">
        <f>_xll.RssFOPMarket($E30,Q$1)</f>
        <v/>
      </c>
    </row>
    <row r="31" spans="1:17" x14ac:dyDescent="0.4">
      <c r="A31" t="str">
        <f t="shared" si="0"/>
        <v>N225MOP</v>
      </c>
      <c r="B31">
        <f t="shared" si="0"/>
        <v>202310</v>
      </c>
      <c r="C31" t="str">
        <f t="shared" si="0"/>
        <v>C</v>
      </c>
      <c r="D31">
        <f t="shared" si="1"/>
        <v>32875</v>
      </c>
      <c r="E31" t="str">
        <f>_xll.RssFOPCode(A31,B31,IF(C31="C",1,IF(C31="P",2,"")),D31)</f>
        <v>マーケットスピード II にログインして「接続中」の状態に変更してから利用してください。</v>
      </c>
      <c r="F31" t="str">
        <f>_xll.RssFOPMarket($E31,F$1)</f>
        <v/>
      </c>
      <c r="G31" t="str">
        <f>_xll.RssFOPMarket($E31,G$1)</f>
        <v/>
      </c>
      <c r="H31" t="str">
        <f>_xll.RssFOPMarket($E31,H$1)</f>
        <v/>
      </c>
      <c r="I31" t="str">
        <f>_xll.RssFOPMarket($E31,I$1)</f>
        <v/>
      </c>
      <c r="J31" t="str">
        <f>_xll.RssFOPMarket($E31,J$1)</f>
        <v/>
      </c>
      <c r="K31" t="str">
        <f>_xll.RssFOPMarket($E31,K$1)</f>
        <v/>
      </c>
      <c r="L31" t="str">
        <f>_xll.RssFOPMarket($E31,L$1)</f>
        <v/>
      </c>
      <c r="M31" t="str">
        <f>_xll.RssFOPMarket($E31,M$1)</f>
        <v/>
      </c>
      <c r="N31" t="str">
        <f>_xll.RssFOPMarket($E31,N$1)</f>
        <v/>
      </c>
      <c r="O31" t="str">
        <f>_xll.RssFOPMarket($E31,O$1)</f>
        <v/>
      </c>
      <c r="P31" t="str">
        <f>_xll.RssFOPMarket($E31,P$1)</f>
        <v/>
      </c>
      <c r="Q31" t="str">
        <f>_xll.RssFOPMarket($E31,Q$1)</f>
        <v/>
      </c>
    </row>
    <row r="32" spans="1:17" x14ac:dyDescent="0.4">
      <c r="A32" t="str">
        <f t="shared" si="0"/>
        <v>N225MOP</v>
      </c>
      <c r="B32">
        <f t="shared" si="0"/>
        <v>202310</v>
      </c>
      <c r="C32" t="str">
        <f t="shared" si="0"/>
        <v>C</v>
      </c>
      <c r="D32">
        <f t="shared" si="1"/>
        <v>32750</v>
      </c>
      <c r="E32" t="str">
        <f>_xll.RssFOPCode(A32,B32,IF(C32="C",1,IF(C32="P",2,"")),D32)</f>
        <v>マーケットスピード II にログインして「接続中」の状態に変更してから利用してください。</v>
      </c>
      <c r="F32" t="str">
        <f>_xll.RssFOPMarket($E32,F$1)</f>
        <v/>
      </c>
      <c r="G32" t="str">
        <f>_xll.RssFOPMarket($E32,G$1)</f>
        <v/>
      </c>
      <c r="H32" t="str">
        <f>_xll.RssFOPMarket($E32,H$1)</f>
        <v/>
      </c>
      <c r="I32" t="str">
        <f>_xll.RssFOPMarket($E32,I$1)</f>
        <v/>
      </c>
      <c r="J32" t="str">
        <f>_xll.RssFOPMarket($E32,J$1)</f>
        <v/>
      </c>
      <c r="K32" t="str">
        <f>_xll.RssFOPMarket($E32,K$1)</f>
        <v/>
      </c>
      <c r="L32" t="str">
        <f>_xll.RssFOPMarket($E32,L$1)</f>
        <v/>
      </c>
      <c r="M32" t="str">
        <f>_xll.RssFOPMarket($E32,M$1)</f>
        <v/>
      </c>
      <c r="N32" t="str">
        <f>_xll.RssFOPMarket($E32,N$1)</f>
        <v/>
      </c>
      <c r="O32" t="str">
        <f>_xll.RssFOPMarket($E32,O$1)</f>
        <v/>
      </c>
      <c r="P32" t="str">
        <f>_xll.RssFOPMarket($E32,P$1)</f>
        <v/>
      </c>
      <c r="Q32" t="str">
        <f>_xll.RssFOPMarket($E32,Q$1)</f>
        <v/>
      </c>
    </row>
    <row r="33" spans="1:17" x14ac:dyDescent="0.4">
      <c r="A33" t="str">
        <f t="shared" si="0"/>
        <v>N225MOP</v>
      </c>
      <c r="B33">
        <f t="shared" si="0"/>
        <v>202310</v>
      </c>
      <c r="C33" t="str">
        <f t="shared" si="0"/>
        <v>C</v>
      </c>
      <c r="D33">
        <f t="shared" si="1"/>
        <v>32625</v>
      </c>
      <c r="E33" t="str">
        <f>_xll.RssFOPCode(A33,B33,IF(C33="C",1,IF(C33="P",2,"")),D33)</f>
        <v>マーケットスピード II にログインして「接続中」の状態に変更してから利用してください。</v>
      </c>
      <c r="F33" t="str">
        <f>_xll.RssFOPMarket($E33,F$1)</f>
        <v/>
      </c>
      <c r="G33" t="str">
        <f>_xll.RssFOPMarket($E33,G$1)</f>
        <v/>
      </c>
      <c r="H33" t="str">
        <f>_xll.RssFOPMarket($E33,H$1)</f>
        <v/>
      </c>
      <c r="I33" t="str">
        <f>_xll.RssFOPMarket($E33,I$1)</f>
        <v/>
      </c>
      <c r="J33" t="str">
        <f>_xll.RssFOPMarket($E33,J$1)</f>
        <v/>
      </c>
      <c r="K33" t="str">
        <f>_xll.RssFOPMarket($E33,K$1)</f>
        <v/>
      </c>
      <c r="L33" t="str">
        <f>_xll.RssFOPMarket($E33,L$1)</f>
        <v/>
      </c>
      <c r="M33" t="str">
        <f>_xll.RssFOPMarket($E33,M$1)</f>
        <v/>
      </c>
      <c r="N33" t="str">
        <f>_xll.RssFOPMarket($E33,N$1)</f>
        <v/>
      </c>
      <c r="O33" t="str">
        <f>_xll.RssFOPMarket($E33,O$1)</f>
        <v/>
      </c>
      <c r="P33" t="str">
        <f>_xll.RssFOPMarket($E33,P$1)</f>
        <v/>
      </c>
      <c r="Q33" t="str">
        <f>_xll.RssFOPMarket($E33,Q$1)</f>
        <v/>
      </c>
    </row>
    <row r="34" spans="1:17" x14ac:dyDescent="0.4">
      <c r="A34" t="str">
        <f t="shared" si="0"/>
        <v>N225MOP</v>
      </c>
      <c r="B34">
        <f t="shared" si="0"/>
        <v>202310</v>
      </c>
      <c r="C34" t="str">
        <f t="shared" si="0"/>
        <v>C</v>
      </c>
      <c r="D34">
        <f t="shared" si="1"/>
        <v>32500</v>
      </c>
      <c r="E34" t="str">
        <f>_xll.RssFOPCode(A34,B34,IF(C34="C",1,IF(C34="P",2,"")),D34)</f>
        <v>マーケットスピード II にログインして「接続中」の状態に変更してから利用してください。</v>
      </c>
      <c r="F34" t="str">
        <f>_xll.RssFOPMarket($E34,F$1)</f>
        <v/>
      </c>
      <c r="G34" t="str">
        <f>_xll.RssFOPMarket($E34,G$1)</f>
        <v/>
      </c>
      <c r="H34" t="str">
        <f>_xll.RssFOPMarket($E34,H$1)</f>
        <v/>
      </c>
      <c r="I34" t="str">
        <f>_xll.RssFOPMarket($E34,I$1)</f>
        <v/>
      </c>
      <c r="J34" t="str">
        <f>_xll.RssFOPMarket($E34,J$1)</f>
        <v/>
      </c>
      <c r="K34" t="str">
        <f>_xll.RssFOPMarket($E34,K$1)</f>
        <v/>
      </c>
      <c r="L34" t="str">
        <f>_xll.RssFOPMarket($E34,L$1)</f>
        <v/>
      </c>
      <c r="M34" t="str">
        <f>_xll.RssFOPMarket($E34,M$1)</f>
        <v/>
      </c>
      <c r="N34" t="str">
        <f>_xll.RssFOPMarket($E34,N$1)</f>
        <v/>
      </c>
      <c r="O34" t="str">
        <f>_xll.RssFOPMarket($E34,O$1)</f>
        <v/>
      </c>
      <c r="P34" t="str">
        <f>_xll.RssFOPMarket($E34,P$1)</f>
        <v/>
      </c>
      <c r="Q34" t="str">
        <f>_xll.RssFOPMarket($E34,Q$1)</f>
        <v/>
      </c>
    </row>
    <row r="35" spans="1:17" x14ac:dyDescent="0.4">
      <c r="A35" t="str">
        <f t="shared" si="0"/>
        <v>N225MOP</v>
      </c>
      <c r="B35">
        <f t="shared" si="0"/>
        <v>202310</v>
      </c>
      <c r="C35" t="str">
        <f t="shared" si="0"/>
        <v>C</v>
      </c>
      <c r="D35">
        <f t="shared" si="1"/>
        <v>32375</v>
      </c>
      <c r="E35" t="str">
        <f>_xll.RssFOPCode(A35,B35,IF(C35="C",1,IF(C35="P",2,"")),D35)</f>
        <v>マーケットスピード II にログインして「接続中」の状態に変更してから利用してください。</v>
      </c>
      <c r="F35" t="str">
        <f>_xll.RssFOPMarket($E35,F$1)</f>
        <v/>
      </c>
      <c r="G35" t="str">
        <f>_xll.RssFOPMarket($E35,G$1)</f>
        <v/>
      </c>
      <c r="H35" t="str">
        <f>_xll.RssFOPMarket($E35,H$1)</f>
        <v/>
      </c>
      <c r="I35" t="str">
        <f>_xll.RssFOPMarket($E35,I$1)</f>
        <v/>
      </c>
      <c r="J35" t="str">
        <f>_xll.RssFOPMarket($E35,J$1)</f>
        <v/>
      </c>
      <c r="K35" t="str">
        <f>_xll.RssFOPMarket($E35,K$1)</f>
        <v/>
      </c>
      <c r="L35" t="str">
        <f>_xll.RssFOPMarket($E35,L$1)</f>
        <v/>
      </c>
      <c r="M35" t="str">
        <f>_xll.RssFOPMarket($E35,M$1)</f>
        <v/>
      </c>
      <c r="N35" t="str">
        <f>_xll.RssFOPMarket($E35,N$1)</f>
        <v/>
      </c>
      <c r="O35" t="str">
        <f>_xll.RssFOPMarket($E35,O$1)</f>
        <v/>
      </c>
      <c r="P35" t="str">
        <f>_xll.RssFOPMarket($E35,P$1)</f>
        <v/>
      </c>
      <c r="Q35" t="str">
        <f>_xll.RssFOPMarket($E35,Q$1)</f>
        <v/>
      </c>
    </row>
    <row r="36" spans="1:17" x14ac:dyDescent="0.4">
      <c r="A36" t="str">
        <f t="shared" si="0"/>
        <v>N225MOP</v>
      </c>
      <c r="B36">
        <f t="shared" si="0"/>
        <v>202310</v>
      </c>
      <c r="C36" t="str">
        <f t="shared" si="0"/>
        <v>C</v>
      </c>
      <c r="D36">
        <f t="shared" si="1"/>
        <v>32250</v>
      </c>
      <c r="E36" t="str">
        <f>_xll.RssFOPCode(A36,B36,IF(C36="C",1,IF(C36="P",2,"")),D36)</f>
        <v>マーケットスピード II にログインして「接続中」の状態に変更してから利用してください。</v>
      </c>
      <c r="F36" t="str">
        <f>_xll.RssFOPMarket($E36,F$1)</f>
        <v/>
      </c>
      <c r="G36" t="str">
        <f>_xll.RssFOPMarket($E36,G$1)</f>
        <v/>
      </c>
      <c r="H36" t="str">
        <f>_xll.RssFOPMarket($E36,H$1)</f>
        <v/>
      </c>
      <c r="I36" t="str">
        <f>_xll.RssFOPMarket($E36,I$1)</f>
        <v/>
      </c>
      <c r="J36" t="str">
        <f>_xll.RssFOPMarket($E36,J$1)</f>
        <v/>
      </c>
      <c r="K36" t="str">
        <f>_xll.RssFOPMarket($E36,K$1)</f>
        <v/>
      </c>
      <c r="L36" t="str">
        <f>_xll.RssFOPMarket($E36,L$1)</f>
        <v/>
      </c>
      <c r="M36" t="str">
        <f>_xll.RssFOPMarket($E36,M$1)</f>
        <v/>
      </c>
      <c r="N36" t="str">
        <f>_xll.RssFOPMarket($E36,N$1)</f>
        <v/>
      </c>
      <c r="O36" t="str">
        <f>_xll.RssFOPMarket($E36,O$1)</f>
        <v/>
      </c>
      <c r="P36" t="str">
        <f>_xll.RssFOPMarket($E36,P$1)</f>
        <v/>
      </c>
      <c r="Q36" t="str">
        <f>_xll.RssFOPMarket($E36,Q$1)</f>
        <v/>
      </c>
    </row>
    <row r="37" spans="1:17" x14ac:dyDescent="0.4">
      <c r="A37" t="str">
        <f t="shared" si="0"/>
        <v>N225MOP</v>
      </c>
      <c r="B37">
        <f t="shared" si="0"/>
        <v>202310</v>
      </c>
      <c r="C37" t="str">
        <f t="shared" si="0"/>
        <v>C</v>
      </c>
      <c r="D37">
        <f t="shared" si="1"/>
        <v>32125</v>
      </c>
      <c r="E37" t="str">
        <f>_xll.RssFOPCode(A37,B37,IF(C37="C",1,IF(C37="P",2,"")),D37)</f>
        <v>マーケットスピード II にログインして「接続中」の状態に変更してから利用してください。</v>
      </c>
      <c r="F37" t="str">
        <f>_xll.RssFOPMarket($E37,F$1)</f>
        <v/>
      </c>
      <c r="G37" t="str">
        <f>_xll.RssFOPMarket($E37,G$1)</f>
        <v/>
      </c>
      <c r="H37" t="str">
        <f>_xll.RssFOPMarket($E37,H$1)</f>
        <v/>
      </c>
      <c r="I37" t="str">
        <f>_xll.RssFOPMarket($E37,I$1)</f>
        <v/>
      </c>
      <c r="J37" t="str">
        <f>_xll.RssFOPMarket($E37,J$1)</f>
        <v/>
      </c>
      <c r="K37" t="str">
        <f>_xll.RssFOPMarket($E37,K$1)</f>
        <v/>
      </c>
      <c r="L37" t="str">
        <f>_xll.RssFOPMarket($E37,L$1)</f>
        <v/>
      </c>
      <c r="M37" t="str">
        <f>_xll.RssFOPMarket($E37,M$1)</f>
        <v/>
      </c>
      <c r="N37" t="str">
        <f>_xll.RssFOPMarket($E37,N$1)</f>
        <v/>
      </c>
      <c r="O37" t="str">
        <f>_xll.RssFOPMarket($E37,O$1)</f>
        <v/>
      </c>
      <c r="P37" t="str">
        <f>_xll.RssFOPMarket($E37,P$1)</f>
        <v/>
      </c>
      <c r="Q37" t="str">
        <f>_xll.RssFOPMarket($E37,Q$1)</f>
        <v/>
      </c>
    </row>
    <row r="38" spans="1:17" x14ac:dyDescent="0.4">
      <c r="A38" t="str">
        <f t="shared" si="0"/>
        <v>N225MOP</v>
      </c>
      <c r="B38">
        <f t="shared" si="0"/>
        <v>202310</v>
      </c>
      <c r="C38" t="s">
        <v>15</v>
      </c>
      <c r="D38">
        <f t="shared" si="1"/>
        <v>32000</v>
      </c>
      <c r="E38" t="str">
        <f>_xll.RssFOPCode(A38,B38,IF(C38="C",1,IF(C38="P",2,"")),D38)</f>
        <v>マーケットスピード II にログインして「接続中」の状態に変更してから利用してください。</v>
      </c>
      <c r="F38" t="str">
        <f>_xll.RssFOPMarket($E38,F$1)</f>
        <v/>
      </c>
      <c r="G38" t="str">
        <f>_xll.RssFOPMarket($E38,G$1)</f>
        <v/>
      </c>
      <c r="H38" t="str">
        <f>_xll.RssFOPMarket($E38,H$1)</f>
        <v/>
      </c>
      <c r="I38" t="str">
        <f>_xll.RssFOPMarket($E38,I$1)</f>
        <v/>
      </c>
      <c r="J38" t="str">
        <f>_xll.RssFOPMarket($E38,J$1)</f>
        <v/>
      </c>
      <c r="K38" t="str">
        <f>_xll.RssFOPMarket($E38,K$1)</f>
        <v/>
      </c>
      <c r="L38" t="str">
        <f>_xll.RssFOPMarket($E38,L$1)</f>
        <v/>
      </c>
      <c r="M38" t="str">
        <f>_xll.RssFOPMarket($E38,M$1)</f>
        <v/>
      </c>
      <c r="N38" t="str">
        <f>_xll.RssFOPMarket($E38,N$1)</f>
        <v/>
      </c>
      <c r="O38" t="str">
        <f>_xll.RssFOPMarket($E38,O$1)</f>
        <v/>
      </c>
      <c r="P38" t="str">
        <f>_xll.RssFOPMarket($E38,P$1)</f>
        <v/>
      </c>
      <c r="Q38" t="str">
        <f>_xll.RssFOPMarket($E38,Q$1)</f>
        <v/>
      </c>
    </row>
    <row r="39" spans="1:17" x14ac:dyDescent="0.4">
      <c r="A39" t="str">
        <f t="shared" si="0"/>
        <v>N225MOP</v>
      </c>
      <c r="B39">
        <f t="shared" si="0"/>
        <v>202310</v>
      </c>
      <c r="C39" t="str">
        <f t="shared" si="0"/>
        <v>C</v>
      </c>
      <c r="D39">
        <f t="shared" si="1"/>
        <v>31875</v>
      </c>
      <c r="E39" t="str">
        <f>_xll.RssFOPCode(A39,B39,IF(C39="C",1,IF(C39="P",2,"")),D39)</f>
        <v>マーケットスピード II にログインして「接続中」の状態に変更してから利用してください。</v>
      </c>
      <c r="F39" t="str">
        <f>_xll.RssFOPMarket($E39,F$1)</f>
        <v/>
      </c>
      <c r="G39" t="str">
        <f>_xll.RssFOPMarket($E39,G$1)</f>
        <v/>
      </c>
      <c r="H39" t="str">
        <f>_xll.RssFOPMarket($E39,H$1)</f>
        <v/>
      </c>
      <c r="I39" t="str">
        <f>_xll.RssFOPMarket($E39,I$1)</f>
        <v/>
      </c>
      <c r="J39" t="str">
        <f>_xll.RssFOPMarket($E39,J$1)</f>
        <v/>
      </c>
      <c r="K39" t="str">
        <f>_xll.RssFOPMarket($E39,K$1)</f>
        <v/>
      </c>
      <c r="L39" t="str">
        <f>_xll.RssFOPMarket($E39,L$1)</f>
        <v/>
      </c>
      <c r="M39" t="str">
        <f>_xll.RssFOPMarket($E39,M$1)</f>
        <v/>
      </c>
      <c r="N39" t="str">
        <f>_xll.RssFOPMarket($E39,N$1)</f>
        <v/>
      </c>
      <c r="O39" t="str">
        <f>_xll.RssFOPMarket($E39,O$1)</f>
        <v/>
      </c>
      <c r="P39" t="str">
        <f>_xll.RssFOPMarket($E39,P$1)</f>
        <v/>
      </c>
      <c r="Q39" t="str">
        <f>_xll.RssFOPMarket($E39,Q$1)</f>
        <v/>
      </c>
    </row>
    <row r="40" spans="1:17" x14ac:dyDescent="0.4">
      <c r="A40" t="str">
        <f t="shared" si="0"/>
        <v>N225MOP</v>
      </c>
      <c r="B40">
        <f t="shared" si="0"/>
        <v>202310</v>
      </c>
      <c r="C40" t="str">
        <f t="shared" si="0"/>
        <v>C</v>
      </c>
      <c r="D40">
        <f t="shared" si="1"/>
        <v>31750</v>
      </c>
      <c r="E40" t="str">
        <f>_xll.RssFOPCode(A40,B40,IF(C40="C",1,IF(C40="P",2,"")),D40)</f>
        <v>マーケットスピード II にログインして「接続中」の状態に変更してから利用してください。</v>
      </c>
      <c r="F40" t="str">
        <f>_xll.RssFOPMarket($E40,F$1)</f>
        <v/>
      </c>
      <c r="G40" t="str">
        <f>_xll.RssFOPMarket($E40,G$1)</f>
        <v/>
      </c>
      <c r="H40" t="str">
        <f>_xll.RssFOPMarket($E40,H$1)</f>
        <v/>
      </c>
      <c r="I40" t="str">
        <f>_xll.RssFOPMarket($E40,I$1)</f>
        <v/>
      </c>
      <c r="J40" t="str">
        <f>_xll.RssFOPMarket($E40,J$1)</f>
        <v/>
      </c>
      <c r="K40" t="str">
        <f>_xll.RssFOPMarket($E40,K$1)</f>
        <v/>
      </c>
      <c r="L40" t="str">
        <f>_xll.RssFOPMarket($E40,L$1)</f>
        <v/>
      </c>
      <c r="M40" t="str">
        <f>_xll.RssFOPMarket($E40,M$1)</f>
        <v/>
      </c>
      <c r="N40" t="str">
        <f>_xll.RssFOPMarket($E40,N$1)</f>
        <v/>
      </c>
      <c r="O40" t="str">
        <f>_xll.RssFOPMarket($E40,O$1)</f>
        <v/>
      </c>
      <c r="P40" t="str">
        <f>_xll.RssFOPMarket($E40,P$1)</f>
        <v/>
      </c>
      <c r="Q40" t="str">
        <f>_xll.RssFOPMarket($E40,Q$1)</f>
        <v/>
      </c>
    </row>
    <row r="41" spans="1:17" x14ac:dyDescent="0.4">
      <c r="A41" t="str">
        <f t="shared" si="0"/>
        <v>N225MOP</v>
      </c>
      <c r="B41">
        <f t="shared" si="0"/>
        <v>202310</v>
      </c>
      <c r="C41" t="str">
        <f t="shared" si="0"/>
        <v>C</v>
      </c>
      <c r="D41">
        <f t="shared" si="1"/>
        <v>31625</v>
      </c>
      <c r="E41" t="str">
        <f>_xll.RssFOPCode(A41,B41,IF(C41="C",1,IF(C41="P",2,"")),D41)</f>
        <v>マーケットスピード II にログインして「接続中」の状態に変更してから利用してください。</v>
      </c>
      <c r="F41" t="str">
        <f>_xll.RssFOPMarket($E41,F$1)</f>
        <v/>
      </c>
      <c r="G41" t="str">
        <f>_xll.RssFOPMarket($E41,G$1)</f>
        <v/>
      </c>
      <c r="H41" t="str">
        <f>_xll.RssFOPMarket($E41,H$1)</f>
        <v/>
      </c>
      <c r="I41" t="str">
        <f>_xll.RssFOPMarket($E41,I$1)</f>
        <v/>
      </c>
      <c r="J41" t="str">
        <f>_xll.RssFOPMarket($E41,J$1)</f>
        <v/>
      </c>
      <c r="K41" t="str">
        <f>_xll.RssFOPMarket($E41,K$1)</f>
        <v/>
      </c>
      <c r="L41" t="str">
        <f>_xll.RssFOPMarket($E41,L$1)</f>
        <v/>
      </c>
      <c r="M41" t="str">
        <f>_xll.RssFOPMarket($E41,M$1)</f>
        <v/>
      </c>
      <c r="N41" t="str">
        <f>_xll.RssFOPMarket($E41,N$1)</f>
        <v/>
      </c>
      <c r="O41" t="str">
        <f>_xll.RssFOPMarket($E41,O$1)</f>
        <v/>
      </c>
      <c r="P41" t="str">
        <f>_xll.RssFOPMarket($E41,P$1)</f>
        <v/>
      </c>
      <c r="Q41" t="str">
        <f>_xll.RssFOPMarket($E41,Q$1)</f>
        <v/>
      </c>
    </row>
    <row r="42" spans="1:17" x14ac:dyDescent="0.4">
      <c r="A42" t="str">
        <f t="shared" si="0"/>
        <v>N225MOP</v>
      </c>
      <c r="B42">
        <f t="shared" si="0"/>
        <v>202310</v>
      </c>
      <c r="C42" t="str">
        <f t="shared" si="0"/>
        <v>C</v>
      </c>
      <c r="D42">
        <f t="shared" si="1"/>
        <v>31500</v>
      </c>
      <c r="E42" t="str">
        <f>_xll.RssFOPCode(A42,B42,IF(C42="C",1,IF(C42="P",2,"")),D42)</f>
        <v>マーケットスピード II にログインして「接続中」の状態に変更してから利用してください。</v>
      </c>
      <c r="F42" t="str">
        <f>_xll.RssFOPMarket($E42,F$1)</f>
        <v/>
      </c>
      <c r="G42" t="str">
        <f>_xll.RssFOPMarket($E42,G$1)</f>
        <v/>
      </c>
      <c r="H42" t="str">
        <f>_xll.RssFOPMarket($E42,H$1)</f>
        <v/>
      </c>
      <c r="I42" t="str">
        <f>_xll.RssFOPMarket($E42,I$1)</f>
        <v/>
      </c>
      <c r="J42" t="str">
        <f>_xll.RssFOPMarket($E42,J$1)</f>
        <v/>
      </c>
      <c r="K42" t="str">
        <f>_xll.RssFOPMarket($E42,K$1)</f>
        <v/>
      </c>
      <c r="L42" t="str">
        <f>_xll.RssFOPMarket($E42,L$1)</f>
        <v/>
      </c>
      <c r="M42" t="str">
        <f>_xll.RssFOPMarket($E42,M$1)</f>
        <v/>
      </c>
      <c r="N42" t="str">
        <f>_xll.RssFOPMarket($E42,N$1)</f>
        <v/>
      </c>
      <c r="O42" t="str">
        <f>_xll.RssFOPMarket($E42,O$1)</f>
        <v/>
      </c>
      <c r="P42" t="str">
        <f>_xll.RssFOPMarket($E42,P$1)</f>
        <v/>
      </c>
      <c r="Q42" t="str">
        <f>_xll.RssFOPMarket($E42,Q$1)</f>
        <v/>
      </c>
    </row>
    <row r="43" spans="1:17" x14ac:dyDescent="0.4">
      <c r="A43" t="str">
        <f t="shared" si="0"/>
        <v>N225MOP</v>
      </c>
      <c r="B43">
        <f t="shared" si="0"/>
        <v>202310</v>
      </c>
      <c r="C43" t="str">
        <f t="shared" si="0"/>
        <v>C</v>
      </c>
      <c r="D43">
        <f t="shared" si="1"/>
        <v>31375</v>
      </c>
      <c r="E43" t="str">
        <f>_xll.RssFOPCode(A43,B43,IF(C43="C",1,IF(C43="P",2,"")),D43)</f>
        <v>マーケットスピード II にログインして「接続中」の状態に変更してから利用してください。</v>
      </c>
      <c r="F43" t="str">
        <f>_xll.RssFOPMarket($E43,F$1)</f>
        <v/>
      </c>
      <c r="G43" t="str">
        <f>_xll.RssFOPMarket($E43,G$1)</f>
        <v/>
      </c>
      <c r="H43" t="str">
        <f>_xll.RssFOPMarket($E43,H$1)</f>
        <v/>
      </c>
      <c r="I43" t="str">
        <f>_xll.RssFOPMarket($E43,I$1)</f>
        <v/>
      </c>
      <c r="J43" t="str">
        <f>_xll.RssFOPMarket($E43,J$1)</f>
        <v/>
      </c>
      <c r="K43" t="str">
        <f>_xll.RssFOPMarket($E43,K$1)</f>
        <v/>
      </c>
      <c r="L43" t="str">
        <f>_xll.RssFOPMarket($E43,L$1)</f>
        <v/>
      </c>
      <c r="M43" t="str">
        <f>_xll.RssFOPMarket($E43,M$1)</f>
        <v/>
      </c>
      <c r="N43" t="str">
        <f>_xll.RssFOPMarket($E43,N$1)</f>
        <v/>
      </c>
      <c r="O43" t="str">
        <f>_xll.RssFOPMarket($E43,O$1)</f>
        <v/>
      </c>
      <c r="P43" t="str">
        <f>_xll.RssFOPMarket($E43,P$1)</f>
        <v/>
      </c>
      <c r="Q43" t="str">
        <f>_xll.RssFOPMarket($E43,Q$1)</f>
        <v/>
      </c>
    </row>
    <row r="44" spans="1:17" x14ac:dyDescent="0.4">
      <c r="A44" t="str">
        <f t="shared" si="0"/>
        <v>N225MOP</v>
      </c>
      <c r="B44">
        <f t="shared" si="0"/>
        <v>202310</v>
      </c>
      <c r="C44" t="str">
        <f t="shared" si="0"/>
        <v>C</v>
      </c>
      <c r="D44">
        <f t="shared" si="1"/>
        <v>31250</v>
      </c>
      <c r="E44" t="str">
        <f>_xll.RssFOPCode(A44,B44,IF(C44="C",1,IF(C44="P",2,"")),D44)</f>
        <v>マーケットスピード II にログインして「接続中」の状態に変更してから利用してください。</v>
      </c>
      <c r="F44" t="str">
        <f>_xll.RssFOPMarket($E44,F$1)</f>
        <v/>
      </c>
      <c r="G44" t="str">
        <f>_xll.RssFOPMarket($E44,G$1)</f>
        <v/>
      </c>
      <c r="H44" t="str">
        <f>_xll.RssFOPMarket($E44,H$1)</f>
        <v/>
      </c>
      <c r="I44" t="str">
        <f>_xll.RssFOPMarket($E44,I$1)</f>
        <v/>
      </c>
      <c r="J44" t="str">
        <f>_xll.RssFOPMarket($E44,J$1)</f>
        <v/>
      </c>
      <c r="K44" t="str">
        <f>_xll.RssFOPMarket($E44,K$1)</f>
        <v/>
      </c>
      <c r="L44" t="str">
        <f>_xll.RssFOPMarket($E44,L$1)</f>
        <v/>
      </c>
      <c r="M44" t="str">
        <f>_xll.RssFOPMarket($E44,M$1)</f>
        <v/>
      </c>
      <c r="N44" t="str">
        <f>_xll.RssFOPMarket($E44,N$1)</f>
        <v/>
      </c>
      <c r="O44" t="str">
        <f>_xll.RssFOPMarket($E44,O$1)</f>
        <v/>
      </c>
      <c r="P44" t="str">
        <f>_xll.RssFOPMarket($E44,P$1)</f>
        <v/>
      </c>
      <c r="Q44" t="str">
        <f>_xll.RssFOPMarket($E44,Q$1)</f>
        <v/>
      </c>
    </row>
    <row r="45" spans="1:17" x14ac:dyDescent="0.4">
      <c r="A45" t="str">
        <f t="shared" si="0"/>
        <v>N225MOP</v>
      </c>
      <c r="B45">
        <f t="shared" si="0"/>
        <v>202310</v>
      </c>
      <c r="C45" t="str">
        <f t="shared" si="0"/>
        <v>C</v>
      </c>
      <c r="D45">
        <f t="shared" si="1"/>
        <v>31125</v>
      </c>
      <c r="E45" t="str">
        <f>_xll.RssFOPCode(A45,B45,IF(C45="C",1,IF(C45="P",2,"")),D45)</f>
        <v>マーケットスピード II にログインして「接続中」の状態に変更してから利用してください。</v>
      </c>
      <c r="F45" t="str">
        <f>_xll.RssFOPMarket($E45,F$1)</f>
        <v/>
      </c>
      <c r="G45" t="str">
        <f>_xll.RssFOPMarket($E45,G$1)</f>
        <v/>
      </c>
      <c r="H45" t="str">
        <f>_xll.RssFOPMarket($E45,H$1)</f>
        <v/>
      </c>
      <c r="I45" t="str">
        <f>_xll.RssFOPMarket($E45,I$1)</f>
        <v/>
      </c>
      <c r="J45" t="str">
        <f>_xll.RssFOPMarket($E45,J$1)</f>
        <v/>
      </c>
      <c r="K45" t="str">
        <f>_xll.RssFOPMarket($E45,K$1)</f>
        <v/>
      </c>
      <c r="L45" t="str">
        <f>_xll.RssFOPMarket($E45,L$1)</f>
        <v/>
      </c>
      <c r="M45" t="str">
        <f>_xll.RssFOPMarket($E45,M$1)</f>
        <v/>
      </c>
      <c r="N45" t="str">
        <f>_xll.RssFOPMarket($E45,N$1)</f>
        <v/>
      </c>
      <c r="O45" t="str">
        <f>_xll.RssFOPMarket($E45,O$1)</f>
        <v/>
      </c>
      <c r="P45" t="str">
        <f>_xll.RssFOPMarket($E45,P$1)</f>
        <v/>
      </c>
      <c r="Q45" t="str">
        <f>_xll.RssFOPMarket($E45,Q$1)</f>
        <v/>
      </c>
    </row>
    <row r="46" spans="1:17" x14ac:dyDescent="0.4">
      <c r="A46" t="str">
        <f t="shared" si="0"/>
        <v>N225MOP</v>
      </c>
      <c r="B46">
        <f t="shared" si="0"/>
        <v>202310</v>
      </c>
      <c r="C46" t="str">
        <f t="shared" si="0"/>
        <v>C</v>
      </c>
      <c r="D46">
        <f t="shared" si="1"/>
        <v>31000</v>
      </c>
      <c r="E46" t="str">
        <f>_xll.RssFOPCode(A46,B46,IF(C46="C",1,IF(C46="P",2,"")),D46)</f>
        <v>マーケットスピード II にログインして「接続中」の状態に変更してから利用してください。</v>
      </c>
      <c r="F46" t="str">
        <f>_xll.RssFOPMarket($E46,F$1)</f>
        <v/>
      </c>
      <c r="G46" t="str">
        <f>_xll.RssFOPMarket($E46,G$1)</f>
        <v/>
      </c>
      <c r="H46" t="str">
        <f>_xll.RssFOPMarket($E46,H$1)</f>
        <v/>
      </c>
      <c r="I46" t="str">
        <f>_xll.RssFOPMarket($E46,I$1)</f>
        <v/>
      </c>
      <c r="J46" t="str">
        <f>_xll.RssFOPMarket($E46,J$1)</f>
        <v/>
      </c>
      <c r="K46" t="str">
        <f>_xll.RssFOPMarket($E46,K$1)</f>
        <v/>
      </c>
      <c r="L46" t="str">
        <f>_xll.RssFOPMarket($E46,L$1)</f>
        <v/>
      </c>
      <c r="M46" t="str">
        <f>_xll.RssFOPMarket($E46,M$1)</f>
        <v/>
      </c>
      <c r="N46" t="str">
        <f>_xll.RssFOPMarket($E46,N$1)</f>
        <v/>
      </c>
      <c r="O46" t="str">
        <f>_xll.RssFOPMarket($E46,O$1)</f>
        <v/>
      </c>
      <c r="P46" t="str">
        <f>_xll.RssFOPMarket($E46,P$1)</f>
        <v/>
      </c>
      <c r="Q46" t="str">
        <f>_xll.RssFOPMarket($E46,Q$1)</f>
        <v/>
      </c>
    </row>
    <row r="47" spans="1:17" x14ac:dyDescent="0.4">
      <c r="A47" t="str">
        <f t="shared" si="0"/>
        <v>N225MOP</v>
      </c>
      <c r="B47">
        <f t="shared" si="0"/>
        <v>202310</v>
      </c>
      <c r="C47" t="str">
        <f t="shared" si="0"/>
        <v>C</v>
      </c>
      <c r="D47">
        <f t="shared" si="1"/>
        <v>30875</v>
      </c>
      <c r="E47" t="str">
        <f>_xll.RssFOPCode(A47,B47,IF(C47="C",1,IF(C47="P",2,"")),D47)</f>
        <v>マーケットスピード II にログインして「接続中」の状態に変更してから利用してください。</v>
      </c>
      <c r="F47" t="str">
        <f>_xll.RssFOPMarket($E47,F$1)</f>
        <v/>
      </c>
      <c r="G47" t="str">
        <f>_xll.RssFOPMarket($E47,G$1)</f>
        <v/>
      </c>
      <c r="H47" t="str">
        <f>_xll.RssFOPMarket($E47,H$1)</f>
        <v/>
      </c>
      <c r="I47" t="str">
        <f>_xll.RssFOPMarket($E47,I$1)</f>
        <v/>
      </c>
      <c r="J47" t="str">
        <f>_xll.RssFOPMarket($E47,J$1)</f>
        <v/>
      </c>
      <c r="K47" t="str">
        <f>_xll.RssFOPMarket($E47,K$1)</f>
        <v/>
      </c>
      <c r="L47" t="str">
        <f>_xll.RssFOPMarket($E47,L$1)</f>
        <v/>
      </c>
      <c r="M47" t="str">
        <f>_xll.RssFOPMarket($E47,M$1)</f>
        <v/>
      </c>
      <c r="N47" t="str">
        <f>_xll.RssFOPMarket($E47,N$1)</f>
        <v/>
      </c>
      <c r="O47" t="str">
        <f>_xll.RssFOPMarket($E47,O$1)</f>
        <v/>
      </c>
      <c r="P47" t="str">
        <f>_xll.RssFOPMarket($E47,P$1)</f>
        <v/>
      </c>
      <c r="Q47" t="str">
        <f>_xll.RssFOPMarket($E47,Q$1)</f>
        <v/>
      </c>
    </row>
    <row r="48" spans="1:17" x14ac:dyDescent="0.4">
      <c r="A48" t="str">
        <f t="shared" si="0"/>
        <v>N225MOP</v>
      </c>
      <c r="B48">
        <f t="shared" si="0"/>
        <v>202310</v>
      </c>
      <c r="C48" t="str">
        <f t="shared" si="0"/>
        <v>C</v>
      </c>
      <c r="D48">
        <f t="shared" si="1"/>
        <v>30750</v>
      </c>
      <c r="E48" t="str">
        <f>_xll.RssFOPCode(A48,B48,IF(C48="C",1,IF(C48="P",2,"")),D48)</f>
        <v>マーケットスピード II にログインして「接続中」の状態に変更してから利用してください。</v>
      </c>
      <c r="F48" t="str">
        <f>_xll.RssFOPMarket($E48,F$1)</f>
        <v/>
      </c>
      <c r="G48" t="str">
        <f>_xll.RssFOPMarket($E48,G$1)</f>
        <v/>
      </c>
      <c r="H48" t="str">
        <f>_xll.RssFOPMarket($E48,H$1)</f>
        <v/>
      </c>
      <c r="I48" t="str">
        <f>_xll.RssFOPMarket($E48,I$1)</f>
        <v/>
      </c>
      <c r="J48" t="str">
        <f>_xll.RssFOPMarket($E48,J$1)</f>
        <v/>
      </c>
      <c r="K48" t="str">
        <f>_xll.RssFOPMarket($E48,K$1)</f>
        <v/>
      </c>
      <c r="L48" t="str">
        <f>_xll.RssFOPMarket($E48,L$1)</f>
        <v/>
      </c>
      <c r="M48" t="str">
        <f>_xll.RssFOPMarket($E48,M$1)</f>
        <v/>
      </c>
      <c r="N48" t="str">
        <f>_xll.RssFOPMarket($E48,N$1)</f>
        <v/>
      </c>
      <c r="O48" t="str">
        <f>_xll.RssFOPMarket($E48,O$1)</f>
        <v/>
      </c>
      <c r="P48" t="str">
        <f>_xll.RssFOPMarket($E48,P$1)</f>
        <v/>
      </c>
      <c r="Q48" t="str">
        <f>_xll.RssFOPMarket($E48,Q$1)</f>
        <v/>
      </c>
    </row>
    <row r="49" spans="1:17" x14ac:dyDescent="0.4">
      <c r="A49" t="str">
        <f t="shared" si="0"/>
        <v>N225MOP</v>
      </c>
      <c r="B49">
        <f t="shared" si="0"/>
        <v>202310</v>
      </c>
      <c r="C49" t="str">
        <f t="shared" si="0"/>
        <v>C</v>
      </c>
      <c r="D49">
        <f t="shared" si="1"/>
        <v>30625</v>
      </c>
      <c r="E49" t="str">
        <f>_xll.RssFOPCode(A49,B49,IF(C49="C",1,IF(C49="P",2,"")),D49)</f>
        <v>マーケットスピード II にログインして「接続中」の状態に変更してから利用してください。</v>
      </c>
      <c r="F49" t="str">
        <f>_xll.RssFOPMarket($E49,F$1)</f>
        <v/>
      </c>
      <c r="G49" t="str">
        <f>_xll.RssFOPMarket($E49,G$1)</f>
        <v/>
      </c>
      <c r="H49" t="str">
        <f>_xll.RssFOPMarket($E49,H$1)</f>
        <v/>
      </c>
      <c r="I49" t="str">
        <f>_xll.RssFOPMarket($E49,I$1)</f>
        <v/>
      </c>
      <c r="J49" t="str">
        <f>_xll.RssFOPMarket($E49,J$1)</f>
        <v/>
      </c>
      <c r="K49" t="str">
        <f>_xll.RssFOPMarket($E49,K$1)</f>
        <v/>
      </c>
      <c r="L49" t="str">
        <f>_xll.RssFOPMarket($E49,L$1)</f>
        <v/>
      </c>
      <c r="M49" t="str">
        <f>_xll.RssFOPMarket($E49,M$1)</f>
        <v/>
      </c>
      <c r="N49" t="str">
        <f>_xll.RssFOPMarket($E49,N$1)</f>
        <v/>
      </c>
      <c r="O49" t="str">
        <f>_xll.RssFOPMarket($E49,O$1)</f>
        <v/>
      </c>
      <c r="P49" t="str">
        <f>_xll.RssFOPMarket($E49,P$1)</f>
        <v/>
      </c>
      <c r="Q49" t="str">
        <f>_xll.RssFOPMarket($E49,Q$1)</f>
        <v/>
      </c>
    </row>
    <row r="50" spans="1:17" x14ac:dyDescent="0.4">
      <c r="A50" t="str">
        <f t="shared" si="0"/>
        <v>N225MOP</v>
      </c>
      <c r="B50">
        <f t="shared" si="0"/>
        <v>202310</v>
      </c>
      <c r="C50" t="str">
        <f t="shared" si="0"/>
        <v>C</v>
      </c>
      <c r="D50">
        <f t="shared" si="1"/>
        <v>30500</v>
      </c>
      <c r="E50" t="str">
        <f>_xll.RssFOPCode(A50,B50,IF(C50="C",1,IF(C50="P",2,"")),D50)</f>
        <v>マーケットスピード II にログインして「接続中」の状態に変更してから利用してください。</v>
      </c>
      <c r="F50" t="str">
        <f>_xll.RssFOPMarket($E50,F$1)</f>
        <v/>
      </c>
      <c r="G50" t="str">
        <f>_xll.RssFOPMarket($E50,G$1)</f>
        <v/>
      </c>
      <c r="H50" t="str">
        <f>_xll.RssFOPMarket($E50,H$1)</f>
        <v/>
      </c>
      <c r="I50" t="str">
        <f>_xll.RssFOPMarket($E50,I$1)</f>
        <v/>
      </c>
      <c r="J50" t="str">
        <f>_xll.RssFOPMarket($E50,J$1)</f>
        <v/>
      </c>
      <c r="K50" t="str">
        <f>_xll.RssFOPMarket($E50,K$1)</f>
        <v/>
      </c>
      <c r="L50" t="str">
        <f>_xll.RssFOPMarket($E50,L$1)</f>
        <v/>
      </c>
      <c r="M50" t="str">
        <f>_xll.RssFOPMarket($E50,M$1)</f>
        <v/>
      </c>
      <c r="N50" t="str">
        <f>_xll.RssFOPMarket($E50,N$1)</f>
        <v/>
      </c>
      <c r="O50" t="str">
        <f>_xll.RssFOPMarket($E50,O$1)</f>
        <v/>
      </c>
      <c r="P50" t="str">
        <f>_xll.RssFOPMarket($E50,P$1)</f>
        <v/>
      </c>
      <c r="Q50" t="str">
        <f>_xll.RssFOPMarket($E50,Q$1)</f>
        <v/>
      </c>
    </row>
    <row r="51" spans="1:17" x14ac:dyDescent="0.4">
      <c r="A51" t="str">
        <f t="shared" si="0"/>
        <v>N225MOP</v>
      </c>
      <c r="B51">
        <f t="shared" si="0"/>
        <v>202310</v>
      </c>
      <c r="C51" t="str">
        <f t="shared" si="0"/>
        <v>C</v>
      </c>
      <c r="D51">
        <f t="shared" si="1"/>
        <v>30375</v>
      </c>
      <c r="E51" t="str">
        <f>_xll.RssFOPCode(A51,B51,IF(C51="C",1,IF(C51="P",2,"")),D51)</f>
        <v>マーケットスピード II にログインして「接続中」の状態に変更してから利用してください。</v>
      </c>
      <c r="F51" t="str">
        <f>_xll.RssFOPMarket($E51,F$1)</f>
        <v/>
      </c>
      <c r="G51" t="str">
        <f>_xll.RssFOPMarket($E51,G$1)</f>
        <v/>
      </c>
      <c r="H51" t="str">
        <f>_xll.RssFOPMarket($E51,H$1)</f>
        <v/>
      </c>
      <c r="I51" t="str">
        <f>_xll.RssFOPMarket($E51,I$1)</f>
        <v/>
      </c>
      <c r="J51" t="str">
        <f>_xll.RssFOPMarket($E51,J$1)</f>
        <v/>
      </c>
      <c r="K51" t="str">
        <f>_xll.RssFOPMarket($E51,K$1)</f>
        <v/>
      </c>
      <c r="L51" t="str">
        <f>_xll.RssFOPMarket($E51,L$1)</f>
        <v/>
      </c>
      <c r="M51" t="str">
        <f>_xll.RssFOPMarket($E51,M$1)</f>
        <v/>
      </c>
      <c r="N51" t="str">
        <f>_xll.RssFOPMarket($E51,N$1)</f>
        <v/>
      </c>
      <c r="O51" t="str">
        <f>_xll.RssFOPMarket($E51,O$1)</f>
        <v/>
      </c>
      <c r="P51" t="str">
        <f>_xll.RssFOPMarket($E51,P$1)</f>
        <v/>
      </c>
      <c r="Q51" t="str">
        <f>_xll.RssFOPMarket($E51,Q$1)</f>
        <v/>
      </c>
    </row>
    <row r="52" spans="1:17" x14ac:dyDescent="0.4">
      <c r="A52" t="str">
        <f t="shared" si="0"/>
        <v>N225MOP</v>
      </c>
      <c r="B52">
        <f t="shared" si="0"/>
        <v>202310</v>
      </c>
      <c r="C52" t="str">
        <f t="shared" si="0"/>
        <v>C</v>
      </c>
      <c r="D52">
        <f t="shared" si="1"/>
        <v>30250</v>
      </c>
      <c r="E52" t="str">
        <f>_xll.RssFOPCode(A52,B52,IF(C52="C",1,IF(C52="P",2,"")),D52)</f>
        <v>マーケットスピード II にログインして「接続中」の状態に変更してから利用してください。</v>
      </c>
      <c r="F52" t="str">
        <f>_xll.RssFOPMarket($E52,F$1)</f>
        <v/>
      </c>
      <c r="G52" t="str">
        <f>_xll.RssFOPMarket($E52,G$1)</f>
        <v/>
      </c>
      <c r="H52" t="str">
        <f>_xll.RssFOPMarket($E52,H$1)</f>
        <v/>
      </c>
      <c r="I52" t="str">
        <f>_xll.RssFOPMarket($E52,I$1)</f>
        <v/>
      </c>
      <c r="J52" t="str">
        <f>_xll.RssFOPMarket($E52,J$1)</f>
        <v/>
      </c>
      <c r="K52" t="str">
        <f>_xll.RssFOPMarket($E52,K$1)</f>
        <v/>
      </c>
      <c r="L52" t="str">
        <f>_xll.RssFOPMarket($E52,L$1)</f>
        <v/>
      </c>
      <c r="M52" t="str">
        <f>_xll.RssFOPMarket($E52,M$1)</f>
        <v/>
      </c>
      <c r="N52" t="str">
        <f>_xll.RssFOPMarket($E52,N$1)</f>
        <v/>
      </c>
      <c r="O52" t="str">
        <f>_xll.RssFOPMarket($E52,O$1)</f>
        <v/>
      </c>
      <c r="P52" t="str">
        <f>_xll.RssFOPMarket($E52,P$1)</f>
        <v/>
      </c>
      <c r="Q52" t="str">
        <f>_xll.RssFOPMarket($E52,Q$1)</f>
        <v/>
      </c>
    </row>
    <row r="53" spans="1:17" x14ac:dyDescent="0.4">
      <c r="A53" t="str">
        <f t="shared" si="0"/>
        <v>N225MOP</v>
      </c>
      <c r="B53">
        <f t="shared" si="0"/>
        <v>202310</v>
      </c>
      <c r="C53" t="str">
        <f t="shared" si="0"/>
        <v>C</v>
      </c>
      <c r="D53">
        <f t="shared" si="1"/>
        <v>30125</v>
      </c>
      <c r="E53" t="str">
        <f>_xll.RssFOPCode(A53,B53,IF(C53="C",1,IF(C53="P",2,"")),D53)</f>
        <v>マーケットスピード II にログインして「接続中」の状態に変更してから利用してください。</v>
      </c>
      <c r="F53" t="str">
        <f>_xll.RssFOPMarket($E53,F$1)</f>
        <v/>
      </c>
      <c r="G53" t="str">
        <f>_xll.RssFOPMarket($E53,G$1)</f>
        <v/>
      </c>
      <c r="H53" t="str">
        <f>_xll.RssFOPMarket($E53,H$1)</f>
        <v/>
      </c>
      <c r="I53" t="str">
        <f>_xll.RssFOPMarket($E53,I$1)</f>
        <v/>
      </c>
      <c r="J53" t="str">
        <f>_xll.RssFOPMarket($E53,J$1)</f>
        <v/>
      </c>
      <c r="K53" t="str">
        <f>_xll.RssFOPMarket($E53,K$1)</f>
        <v/>
      </c>
      <c r="L53" t="str">
        <f>_xll.RssFOPMarket($E53,L$1)</f>
        <v/>
      </c>
      <c r="M53" t="str">
        <f>_xll.RssFOPMarket($E53,M$1)</f>
        <v/>
      </c>
      <c r="N53" t="str">
        <f>_xll.RssFOPMarket($E53,N$1)</f>
        <v/>
      </c>
      <c r="O53" t="str">
        <f>_xll.RssFOPMarket($E53,O$1)</f>
        <v/>
      </c>
      <c r="P53" t="str">
        <f>_xll.RssFOPMarket($E53,P$1)</f>
        <v/>
      </c>
      <c r="Q53" t="str">
        <f>_xll.RssFOPMarket($E53,Q$1)</f>
        <v/>
      </c>
    </row>
    <row r="54" spans="1:17" x14ac:dyDescent="0.4">
      <c r="A54" t="str">
        <f t="shared" si="0"/>
        <v>N225MOP</v>
      </c>
      <c r="B54">
        <f t="shared" si="0"/>
        <v>202310</v>
      </c>
      <c r="C54" t="str">
        <f t="shared" si="0"/>
        <v>C</v>
      </c>
      <c r="D54">
        <f t="shared" si="1"/>
        <v>30000</v>
      </c>
      <c r="E54" t="str">
        <f>_xll.RssFOPCode(A54,B54,IF(C54="C",1,IF(C54="P",2,"")),D54)</f>
        <v>マーケットスピード II にログインして「接続中」の状態に変更してから利用してください。</v>
      </c>
      <c r="F54" t="str">
        <f>_xll.RssFOPMarket($E54,F$1)</f>
        <v/>
      </c>
      <c r="G54" t="str">
        <f>_xll.RssFOPMarket($E54,G$1)</f>
        <v/>
      </c>
      <c r="H54" t="str">
        <f>_xll.RssFOPMarket($E54,H$1)</f>
        <v/>
      </c>
      <c r="I54" t="str">
        <f>_xll.RssFOPMarket($E54,I$1)</f>
        <v/>
      </c>
      <c r="J54" t="str">
        <f>_xll.RssFOPMarket($E54,J$1)</f>
        <v/>
      </c>
      <c r="K54" t="str">
        <f>_xll.RssFOPMarket($E54,K$1)</f>
        <v/>
      </c>
      <c r="L54" t="str">
        <f>_xll.RssFOPMarket($E54,L$1)</f>
        <v/>
      </c>
      <c r="M54" t="str">
        <f>_xll.RssFOPMarket($E54,M$1)</f>
        <v/>
      </c>
      <c r="N54" t="str">
        <f>_xll.RssFOPMarket($E54,N$1)</f>
        <v/>
      </c>
      <c r="O54" t="str">
        <f>_xll.RssFOPMarket($E54,O$1)</f>
        <v/>
      </c>
      <c r="P54" t="str">
        <f>_xll.RssFOPMarket($E54,P$1)</f>
        <v/>
      </c>
      <c r="Q54" t="str">
        <f>_xll.RssFOPMarket($E54,Q$1)</f>
        <v/>
      </c>
    </row>
    <row r="55" spans="1:17" x14ac:dyDescent="0.4">
      <c r="A55" t="str">
        <f t="shared" si="0"/>
        <v>N225MOP</v>
      </c>
      <c r="B55">
        <f t="shared" si="0"/>
        <v>202310</v>
      </c>
      <c r="C55" t="str">
        <f t="shared" si="0"/>
        <v>C</v>
      </c>
      <c r="D55">
        <f t="shared" si="1"/>
        <v>29875</v>
      </c>
      <c r="E55" t="str">
        <f>_xll.RssFOPCode(A55,B55,IF(C55="C",1,IF(C55="P",2,"")),D55)</f>
        <v>マーケットスピード II にログインして「接続中」の状態に変更してから利用してください。</v>
      </c>
      <c r="F55" t="str">
        <f>_xll.RssFOPMarket($E55,F$1)</f>
        <v/>
      </c>
      <c r="G55" t="str">
        <f>_xll.RssFOPMarket($E55,G$1)</f>
        <v/>
      </c>
      <c r="H55" t="str">
        <f>_xll.RssFOPMarket($E55,H$1)</f>
        <v/>
      </c>
      <c r="I55" t="str">
        <f>_xll.RssFOPMarket($E55,I$1)</f>
        <v/>
      </c>
      <c r="J55" t="str">
        <f>_xll.RssFOPMarket($E55,J$1)</f>
        <v/>
      </c>
      <c r="K55" t="str">
        <f>_xll.RssFOPMarket($E55,K$1)</f>
        <v/>
      </c>
      <c r="L55" t="str">
        <f>_xll.RssFOPMarket($E55,L$1)</f>
        <v/>
      </c>
      <c r="M55" t="str">
        <f>_xll.RssFOPMarket($E55,M$1)</f>
        <v/>
      </c>
      <c r="N55" t="str">
        <f>_xll.RssFOPMarket($E55,N$1)</f>
        <v/>
      </c>
      <c r="O55" t="str">
        <f>_xll.RssFOPMarket($E55,O$1)</f>
        <v/>
      </c>
      <c r="P55" t="str">
        <f>_xll.RssFOPMarket($E55,P$1)</f>
        <v/>
      </c>
      <c r="Q55" t="str">
        <f>_xll.RssFOPMarket($E55,Q$1)</f>
        <v/>
      </c>
    </row>
    <row r="56" spans="1:17" x14ac:dyDescent="0.4">
      <c r="A56" t="str">
        <f t="shared" si="0"/>
        <v>N225MOP</v>
      </c>
      <c r="B56">
        <f t="shared" si="0"/>
        <v>202310</v>
      </c>
      <c r="C56" t="str">
        <f t="shared" si="0"/>
        <v>C</v>
      </c>
      <c r="D56">
        <f t="shared" si="1"/>
        <v>29750</v>
      </c>
      <c r="E56" t="str">
        <f>_xll.RssFOPCode(A56,B56,IF(C56="C",1,IF(C56="P",2,"")),D56)</f>
        <v>マーケットスピード II にログインして「接続中」の状態に変更してから利用してください。</v>
      </c>
      <c r="F56" t="str">
        <f>_xll.RssFOPMarket($E56,F$1)</f>
        <v/>
      </c>
      <c r="G56" t="str">
        <f>_xll.RssFOPMarket($E56,G$1)</f>
        <v/>
      </c>
      <c r="H56" t="str">
        <f>_xll.RssFOPMarket($E56,H$1)</f>
        <v/>
      </c>
      <c r="I56" t="str">
        <f>_xll.RssFOPMarket($E56,I$1)</f>
        <v/>
      </c>
      <c r="J56" t="str">
        <f>_xll.RssFOPMarket($E56,J$1)</f>
        <v/>
      </c>
      <c r="K56" t="str">
        <f>_xll.RssFOPMarket($E56,K$1)</f>
        <v/>
      </c>
      <c r="L56" t="str">
        <f>_xll.RssFOPMarket($E56,L$1)</f>
        <v/>
      </c>
      <c r="M56" t="str">
        <f>_xll.RssFOPMarket($E56,M$1)</f>
        <v/>
      </c>
      <c r="N56" t="str">
        <f>_xll.RssFOPMarket($E56,N$1)</f>
        <v/>
      </c>
      <c r="O56" t="str">
        <f>_xll.RssFOPMarket($E56,O$1)</f>
        <v/>
      </c>
      <c r="P56" t="str">
        <f>_xll.RssFOPMarket($E56,P$1)</f>
        <v/>
      </c>
      <c r="Q56" t="str">
        <f>_xll.RssFOPMarket($E56,Q$1)</f>
        <v/>
      </c>
    </row>
    <row r="57" spans="1:17" x14ac:dyDescent="0.4">
      <c r="A57" t="str">
        <f t="shared" si="0"/>
        <v>N225MOP</v>
      </c>
      <c r="B57">
        <f t="shared" si="0"/>
        <v>202310</v>
      </c>
      <c r="C57" t="str">
        <f t="shared" si="0"/>
        <v>C</v>
      </c>
      <c r="D57">
        <f t="shared" si="1"/>
        <v>29625</v>
      </c>
      <c r="E57" t="str">
        <f>_xll.RssFOPCode(A57,B57,IF(C57="C",1,IF(C57="P",2,"")),D57)</f>
        <v>マーケットスピード II にログインして「接続中」の状態に変更してから利用してください。</v>
      </c>
      <c r="F57" t="str">
        <f>_xll.RssFOPMarket($E57,F$1)</f>
        <v/>
      </c>
      <c r="G57" t="str">
        <f>_xll.RssFOPMarket($E57,G$1)</f>
        <v/>
      </c>
      <c r="H57" t="str">
        <f>_xll.RssFOPMarket($E57,H$1)</f>
        <v/>
      </c>
      <c r="I57" t="str">
        <f>_xll.RssFOPMarket($E57,I$1)</f>
        <v/>
      </c>
      <c r="J57" t="str">
        <f>_xll.RssFOPMarket($E57,J$1)</f>
        <v/>
      </c>
      <c r="K57" t="str">
        <f>_xll.RssFOPMarket($E57,K$1)</f>
        <v/>
      </c>
      <c r="L57" t="str">
        <f>_xll.RssFOPMarket($E57,L$1)</f>
        <v/>
      </c>
      <c r="M57" t="str">
        <f>_xll.RssFOPMarket($E57,M$1)</f>
        <v/>
      </c>
      <c r="N57" t="str">
        <f>_xll.RssFOPMarket($E57,N$1)</f>
        <v/>
      </c>
      <c r="O57" t="str">
        <f>_xll.RssFOPMarket($E57,O$1)</f>
        <v/>
      </c>
      <c r="P57" t="str">
        <f>_xll.RssFOPMarket($E57,P$1)</f>
        <v/>
      </c>
      <c r="Q57" t="str">
        <f>_xll.RssFOPMarket($E57,Q$1)</f>
        <v/>
      </c>
    </row>
    <row r="58" spans="1:17" x14ac:dyDescent="0.4">
      <c r="A58" t="str">
        <f t="shared" si="0"/>
        <v>N225MOP</v>
      </c>
      <c r="B58">
        <f t="shared" si="0"/>
        <v>202310</v>
      </c>
      <c r="C58" t="str">
        <f t="shared" si="0"/>
        <v>C</v>
      </c>
      <c r="D58">
        <f t="shared" si="1"/>
        <v>29500</v>
      </c>
      <c r="E58" t="str">
        <f>_xll.RssFOPCode(A58,B58,IF(C58="C",1,IF(C58="P",2,"")),D58)</f>
        <v>マーケットスピード II にログインして「接続中」の状態に変更してから利用してください。</v>
      </c>
      <c r="F58" t="str">
        <f>_xll.RssFOPMarket($E58,F$1)</f>
        <v/>
      </c>
      <c r="G58" t="str">
        <f>_xll.RssFOPMarket($E58,G$1)</f>
        <v/>
      </c>
      <c r="H58" t="str">
        <f>_xll.RssFOPMarket($E58,H$1)</f>
        <v/>
      </c>
      <c r="I58" t="str">
        <f>_xll.RssFOPMarket($E58,I$1)</f>
        <v/>
      </c>
      <c r="J58" t="str">
        <f>_xll.RssFOPMarket($E58,J$1)</f>
        <v/>
      </c>
      <c r="K58" t="str">
        <f>_xll.RssFOPMarket($E58,K$1)</f>
        <v/>
      </c>
      <c r="L58" t="str">
        <f>_xll.RssFOPMarket($E58,L$1)</f>
        <v/>
      </c>
      <c r="M58" t="str">
        <f>_xll.RssFOPMarket($E58,M$1)</f>
        <v/>
      </c>
      <c r="N58" t="str">
        <f>_xll.RssFOPMarket($E58,N$1)</f>
        <v/>
      </c>
      <c r="O58" t="str">
        <f>_xll.RssFOPMarket($E58,O$1)</f>
        <v/>
      </c>
      <c r="P58" t="str">
        <f>_xll.RssFOPMarket($E58,P$1)</f>
        <v/>
      </c>
      <c r="Q58" t="str">
        <f>_xll.RssFOPMarket($E58,Q$1)</f>
        <v/>
      </c>
    </row>
    <row r="59" spans="1:17" x14ac:dyDescent="0.4">
      <c r="A59" t="str">
        <f t="shared" si="0"/>
        <v>N225MOP</v>
      </c>
      <c r="B59">
        <f t="shared" si="0"/>
        <v>202310</v>
      </c>
      <c r="C59" t="str">
        <f t="shared" si="0"/>
        <v>C</v>
      </c>
      <c r="D59">
        <f t="shared" si="1"/>
        <v>29375</v>
      </c>
      <c r="E59" t="str">
        <f>_xll.RssFOPCode(A59,B59,IF(C59="C",1,IF(C59="P",2,"")),D59)</f>
        <v>マーケットスピード II にログインして「接続中」の状態に変更してから利用してください。</v>
      </c>
      <c r="F59" t="str">
        <f>_xll.RssFOPMarket($E59,F$1)</f>
        <v/>
      </c>
      <c r="G59" t="str">
        <f>_xll.RssFOPMarket($E59,G$1)</f>
        <v/>
      </c>
      <c r="H59" t="str">
        <f>_xll.RssFOPMarket($E59,H$1)</f>
        <v/>
      </c>
      <c r="I59" t="str">
        <f>_xll.RssFOPMarket($E59,I$1)</f>
        <v/>
      </c>
      <c r="J59" t="str">
        <f>_xll.RssFOPMarket($E59,J$1)</f>
        <v/>
      </c>
      <c r="K59" t="str">
        <f>_xll.RssFOPMarket($E59,K$1)</f>
        <v/>
      </c>
      <c r="L59" t="str">
        <f>_xll.RssFOPMarket($E59,L$1)</f>
        <v/>
      </c>
      <c r="M59" t="str">
        <f>_xll.RssFOPMarket($E59,M$1)</f>
        <v/>
      </c>
      <c r="N59" t="str">
        <f>_xll.RssFOPMarket($E59,N$1)</f>
        <v/>
      </c>
      <c r="O59" t="str">
        <f>_xll.RssFOPMarket($E59,O$1)</f>
        <v/>
      </c>
      <c r="P59" t="str">
        <f>_xll.RssFOPMarket($E59,P$1)</f>
        <v/>
      </c>
      <c r="Q59" t="str">
        <f>_xll.RssFOPMarket($E59,Q$1)</f>
        <v/>
      </c>
    </row>
    <row r="60" spans="1:17" x14ac:dyDescent="0.4">
      <c r="A60" t="str">
        <f t="shared" si="0"/>
        <v>N225MOP</v>
      </c>
      <c r="B60">
        <f t="shared" si="0"/>
        <v>202310</v>
      </c>
      <c r="C60" t="str">
        <f t="shared" si="0"/>
        <v>C</v>
      </c>
      <c r="D60">
        <f t="shared" si="1"/>
        <v>29250</v>
      </c>
      <c r="E60" t="str">
        <f>_xll.RssFOPCode(A60,B60,IF(C60="C",1,IF(C60="P",2,"")),D60)</f>
        <v>マーケットスピード II にログインして「接続中」の状態に変更してから利用してください。</v>
      </c>
      <c r="F60" t="str">
        <f>_xll.RssFOPMarket($E60,F$1)</f>
        <v/>
      </c>
      <c r="G60" t="str">
        <f>_xll.RssFOPMarket($E60,G$1)</f>
        <v/>
      </c>
      <c r="H60" t="str">
        <f>_xll.RssFOPMarket($E60,H$1)</f>
        <v/>
      </c>
      <c r="I60" t="str">
        <f>_xll.RssFOPMarket($E60,I$1)</f>
        <v/>
      </c>
      <c r="J60" t="str">
        <f>_xll.RssFOPMarket($E60,J$1)</f>
        <v/>
      </c>
      <c r="K60" t="str">
        <f>_xll.RssFOPMarket($E60,K$1)</f>
        <v/>
      </c>
      <c r="L60" t="str">
        <f>_xll.RssFOPMarket($E60,L$1)</f>
        <v/>
      </c>
      <c r="M60" t="str">
        <f>_xll.RssFOPMarket($E60,M$1)</f>
        <v/>
      </c>
      <c r="N60" t="str">
        <f>_xll.RssFOPMarket($E60,N$1)</f>
        <v/>
      </c>
      <c r="O60" t="str">
        <f>_xll.RssFOPMarket($E60,O$1)</f>
        <v/>
      </c>
      <c r="P60" t="str">
        <f>_xll.RssFOPMarket($E60,P$1)</f>
        <v/>
      </c>
      <c r="Q60" t="str">
        <f>_xll.RssFOPMarket($E60,Q$1)</f>
        <v/>
      </c>
    </row>
    <row r="61" spans="1:17" x14ac:dyDescent="0.4">
      <c r="A61" t="str">
        <f t="shared" si="0"/>
        <v>N225MOP</v>
      </c>
      <c r="B61">
        <f t="shared" si="0"/>
        <v>202310</v>
      </c>
      <c r="C61" t="str">
        <f t="shared" si="0"/>
        <v>C</v>
      </c>
      <c r="D61">
        <f t="shared" si="1"/>
        <v>29125</v>
      </c>
      <c r="E61" t="str">
        <f>_xll.RssFOPCode(A61,B61,IF(C61="C",1,IF(C61="P",2,"")),D61)</f>
        <v>マーケットスピード II にログインして「接続中」の状態に変更してから利用してください。</v>
      </c>
      <c r="F61" t="str">
        <f>_xll.RssFOPMarket($E61,F$1)</f>
        <v/>
      </c>
      <c r="G61" t="str">
        <f>_xll.RssFOPMarket($E61,G$1)</f>
        <v/>
      </c>
      <c r="H61" t="str">
        <f>_xll.RssFOPMarket($E61,H$1)</f>
        <v/>
      </c>
      <c r="I61" t="str">
        <f>_xll.RssFOPMarket($E61,I$1)</f>
        <v/>
      </c>
      <c r="J61" t="str">
        <f>_xll.RssFOPMarket($E61,J$1)</f>
        <v/>
      </c>
      <c r="K61" t="str">
        <f>_xll.RssFOPMarket($E61,K$1)</f>
        <v/>
      </c>
      <c r="L61" t="str">
        <f>_xll.RssFOPMarket($E61,L$1)</f>
        <v/>
      </c>
      <c r="M61" t="str">
        <f>_xll.RssFOPMarket($E61,M$1)</f>
        <v/>
      </c>
      <c r="N61" t="str">
        <f>_xll.RssFOPMarket($E61,N$1)</f>
        <v/>
      </c>
      <c r="O61" t="str">
        <f>_xll.RssFOPMarket($E61,O$1)</f>
        <v/>
      </c>
      <c r="P61" t="str">
        <f>_xll.RssFOPMarket($E61,P$1)</f>
        <v/>
      </c>
      <c r="Q61" t="str">
        <f>_xll.RssFOPMarket($E61,Q$1)</f>
        <v/>
      </c>
    </row>
    <row r="62" spans="1:17" x14ac:dyDescent="0.4">
      <c r="A62" t="str">
        <f t="shared" si="0"/>
        <v>N225MOP</v>
      </c>
      <c r="B62">
        <f t="shared" si="0"/>
        <v>202310</v>
      </c>
      <c r="C62" t="str">
        <f t="shared" si="0"/>
        <v>C</v>
      </c>
      <c r="D62">
        <f t="shared" si="1"/>
        <v>29000</v>
      </c>
      <c r="E62" t="str">
        <f>_xll.RssFOPCode(A62,B62,IF(C62="C",1,IF(C62="P",2,"")),D62)</f>
        <v>マーケットスピード II にログインして「接続中」の状態に変更してから利用してください。</v>
      </c>
      <c r="F62" t="str">
        <f>_xll.RssFOPMarket($E62,F$1)</f>
        <v/>
      </c>
      <c r="G62" t="str">
        <f>_xll.RssFOPMarket($E62,G$1)</f>
        <v/>
      </c>
      <c r="H62" t="str">
        <f>_xll.RssFOPMarket($E62,H$1)</f>
        <v/>
      </c>
      <c r="I62" t="str">
        <f>_xll.RssFOPMarket($E62,I$1)</f>
        <v/>
      </c>
      <c r="J62" t="str">
        <f>_xll.RssFOPMarket($E62,J$1)</f>
        <v/>
      </c>
      <c r="K62" t="str">
        <f>_xll.RssFOPMarket($E62,K$1)</f>
        <v/>
      </c>
      <c r="L62" t="str">
        <f>_xll.RssFOPMarket($E62,L$1)</f>
        <v/>
      </c>
      <c r="M62" t="str">
        <f>_xll.RssFOPMarket($E62,M$1)</f>
        <v/>
      </c>
      <c r="N62" t="str">
        <f>_xll.RssFOPMarket($E62,N$1)</f>
        <v/>
      </c>
      <c r="O62" t="str">
        <f>_xll.RssFOPMarket($E62,O$1)</f>
        <v/>
      </c>
      <c r="P62" t="str">
        <f>_xll.RssFOPMarket($E62,P$1)</f>
        <v/>
      </c>
      <c r="Q62" t="str">
        <f>_xll.RssFOPMarket($E62,Q$1)</f>
        <v/>
      </c>
    </row>
    <row r="63" spans="1:17" x14ac:dyDescent="0.4">
      <c r="A63" t="str">
        <f t="shared" si="0"/>
        <v>N225MOP</v>
      </c>
      <c r="B63">
        <f t="shared" si="0"/>
        <v>202310</v>
      </c>
      <c r="C63" t="str">
        <f t="shared" si="0"/>
        <v>C</v>
      </c>
      <c r="D63">
        <f t="shared" si="1"/>
        <v>28875</v>
      </c>
      <c r="E63" t="str">
        <f>_xll.RssFOPCode(A63,B63,IF(C63="C",1,IF(C63="P",2,"")),D63)</f>
        <v>マーケットスピード II にログインして「接続中」の状態に変更してから利用してください。</v>
      </c>
      <c r="F63" t="str">
        <f>_xll.RssFOPMarket($E63,F$1)</f>
        <v/>
      </c>
      <c r="G63" t="str">
        <f>_xll.RssFOPMarket($E63,G$1)</f>
        <v/>
      </c>
      <c r="H63" t="str">
        <f>_xll.RssFOPMarket($E63,H$1)</f>
        <v/>
      </c>
      <c r="I63" t="str">
        <f>_xll.RssFOPMarket($E63,I$1)</f>
        <v/>
      </c>
      <c r="J63" t="str">
        <f>_xll.RssFOPMarket($E63,J$1)</f>
        <v/>
      </c>
      <c r="K63" t="str">
        <f>_xll.RssFOPMarket($E63,K$1)</f>
        <v/>
      </c>
      <c r="L63" t="str">
        <f>_xll.RssFOPMarket($E63,L$1)</f>
        <v/>
      </c>
      <c r="M63" t="str">
        <f>_xll.RssFOPMarket($E63,M$1)</f>
        <v/>
      </c>
      <c r="N63" t="str">
        <f>_xll.RssFOPMarket($E63,N$1)</f>
        <v/>
      </c>
      <c r="O63" t="str">
        <f>_xll.RssFOPMarket($E63,O$1)</f>
        <v/>
      </c>
      <c r="P63" t="str">
        <f>_xll.RssFOPMarket($E63,P$1)</f>
        <v/>
      </c>
      <c r="Q63" t="str">
        <f>_xll.RssFOPMarket($E63,Q$1)</f>
        <v/>
      </c>
    </row>
    <row r="64" spans="1:17" x14ac:dyDescent="0.4">
      <c r="A64" t="str">
        <f t="shared" si="0"/>
        <v>N225MOP</v>
      </c>
      <c r="B64">
        <f t="shared" si="0"/>
        <v>202310</v>
      </c>
      <c r="C64" t="str">
        <f t="shared" si="0"/>
        <v>C</v>
      </c>
      <c r="D64">
        <f t="shared" si="1"/>
        <v>28750</v>
      </c>
      <c r="E64" t="str">
        <f>_xll.RssFOPCode(A64,B64,IF(C64="C",1,IF(C64="P",2,"")),D64)</f>
        <v>マーケットスピード II にログインして「接続中」の状態に変更してから利用してください。</v>
      </c>
      <c r="F64" t="str">
        <f>_xll.RssFOPMarket($E64,F$1)</f>
        <v/>
      </c>
      <c r="G64" t="str">
        <f>_xll.RssFOPMarket($E64,G$1)</f>
        <v/>
      </c>
      <c r="H64" t="str">
        <f>_xll.RssFOPMarket($E64,H$1)</f>
        <v/>
      </c>
      <c r="I64" t="str">
        <f>_xll.RssFOPMarket($E64,I$1)</f>
        <v/>
      </c>
      <c r="J64" t="str">
        <f>_xll.RssFOPMarket($E64,J$1)</f>
        <v/>
      </c>
      <c r="K64" t="str">
        <f>_xll.RssFOPMarket($E64,K$1)</f>
        <v/>
      </c>
      <c r="L64" t="str">
        <f>_xll.RssFOPMarket($E64,L$1)</f>
        <v/>
      </c>
      <c r="M64" t="str">
        <f>_xll.RssFOPMarket($E64,M$1)</f>
        <v/>
      </c>
      <c r="N64" t="str">
        <f>_xll.RssFOPMarket($E64,N$1)</f>
        <v/>
      </c>
      <c r="O64" t="str">
        <f>_xll.RssFOPMarket($E64,O$1)</f>
        <v/>
      </c>
      <c r="P64" t="str">
        <f>_xll.RssFOPMarket($E64,P$1)</f>
        <v/>
      </c>
      <c r="Q64" t="str">
        <f>_xll.RssFOPMarket($E64,Q$1)</f>
        <v/>
      </c>
    </row>
    <row r="65" spans="1:17" x14ac:dyDescent="0.4">
      <c r="A65" t="str">
        <f t="shared" si="0"/>
        <v>N225MOP</v>
      </c>
      <c r="B65">
        <f t="shared" si="0"/>
        <v>202310</v>
      </c>
      <c r="C65" t="str">
        <f t="shared" si="0"/>
        <v>C</v>
      </c>
      <c r="D65">
        <f t="shared" si="1"/>
        <v>28625</v>
      </c>
      <c r="E65" t="str">
        <f>_xll.RssFOPCode(A65,B65,IF(C65="C",1,IF(C65="P",2,"")),D65)</f>
        <v>マーケットスピード II にログインして「接続中」の状態に変更してから利用してください。</v>
      </c>
      <c r="F65" t="str">
        <f>_xll.RssFOPMarket($E65,F$1)</f>
        <v/>
      </c>
      <c r="G65" t="str">
        <f>_xll.RssFOPMarket($E65,G$1)</f>
        <v/>
      </c>
      <c r="H65" t="str">
        <f>_xll.RssFOPMarket($E65,H$1)</f>
        <v/>
      </c>
      <c r="I65" t="str">
        <f>_xll.RssFOPMarket($E65,I$1)</f>
        <v/>
      </c>
      <c r="J65" t="str">
        <f>_xll.RssFOPMarket($E65,J$1)</f>
        <v/>
      </c>
      <c r="K65" t="str">
        <f>_xll.RssFOPMarket($E65,K$1)</f>
        <v/>
      </c>
      <c r="L65" t="str">
        <f>_xll.RssFOPMarket($E65,L$1)</f>
        <v/>
      </c>
      <c r="M65" t="str">
        <f>_xll.RssFOPMarket($E65,M$1)</f>
        <v/>
      </c>
      <c r="N65" t="str">
        <f>_xll.RssFOPMarket($E65,N$1)</f>
        <v/>
      </c>
      <c r="O65" t="str">
        <f>_xll.RssFOPMarket($E65,O$1)</f>
        <v/>
      </c>
      <c r="P65" t="str">
        <f>_xll.RssFOPMarket($E65,P$1)</f>
        <v/>
      </c>
      <c r="Q65" t="str">
        <f>_xll.RssFOPMarket($E65,Q$1)</f>
        <v/>
      </c>
    </row>
    <row r="66" spans="1:17" x14ac:dyDescent="0.4">
      <c r="A66" t="str">
        <f t="shared" si="0"/>
        <v>N225MOP</v>
      </c>
      <c r="B66">
        <f t="shared" si="0"/>
        <v>202310</v>
      </c>
      <c r="C66" t="str">
        <f t="shared" si="0"/>
        <v>C</v>
      </c>
      <c r="D66">
        <f t="shared" si="1"/>
        <v>28500</v>
      </c>
      <c r="E66" t="str">
        <f>_xll.RssFOPCode(A66,B66,IF(C66="C",1,IF(C66="P",2,"")),D66)</f>
        <v>マーケットスピード II にログインして「接続中」の状態に変更してから利用してください。</v>
      </c>
      <c r="F66" t="str">
        <f>_xll.RssFOPMarket($E66,F$1)</f>
        <v/>
      </c>
      <c r="G66" t="str">
        <f>_xll.RssFOPMarket($E66,G$1)</f>
        <v/>
      </c>
      <c r="H66" t="str">
        <f>_xll.RssFOPMarket($E66,H$1)</f>
        <v/>
      </c>
      <c r="I66" t="str">
        <f>_xll.RssFOPMarket($E66,I$1)</f>
        <v/>
      </c>
      <c r="J66" t="str">
        <f>_xll.RssFOPMarket($E66,J$1)</f>
        <v/>
      </c>
      <c r="K66" t="str">
        <f>_xll.RssFOPMarket($E66,K$1)</f>
        <v/>
      </c>
      <c r="L66" t="str">
        <f>_xll.RssFOPMarket($E66,L$1)</f>
        <v/>
      </c>
      <c r="M66" t="str">
        <f>_xll.RssFOPMarket($E66,M$1)</f>
        <v/>
      </c>
      <c r="N66" t="str">
        <f>_xll.RssFOPMarket($E66,N$1)</f>
        <v/>
      </c>
      <c r="O66" t="str">
        <f>_xll.RssFOPMarket($E66,O$1)</f>
        <v/>
      </c>
      <c r="P66" t="str">
        <f>_xll.RssFOPMarket($E66,P$1)</f>
        <v/>
      </c>
      <c r="Q66" t="str">
        <f>_xll.RssFOPMarket($E66,Q$1)</f>
        <v/>
      </c>
    </row>
    <row r="67" spans="1:17" x14ac:dyDescent="0.4">
      <c r="A67" t="str">
        <f t="shared" si="0"/>
        <v>N225MOP</v>
      </c>
      <c r="B67">
        <f t="shared" si="0"/>
        <v>202310</v>
      </c>
      <c r="C67" t="str">
        <f t="shared" si="0"/>
        <v>C</v>
      </c>
      <c r="D67">
        <f t="shared" si="1"/>
        <v>28375</v>
      </c>
      <c r="E67" t="str">
        <f>_xll.RssFOPCode(A67,B67,IF(C67="C",1,IF(C67="P",2,"")),D67)</f>
        <v>マーケットスピード II にログインして「接続中」の状態に変更してから利用してください。</v>
      </c>
      <c r="F67" t="str">
        <f>_xll.RssFOPMarket($E67,F$1)</f>
        <v/>
      </c>
      <c r="G67" t="str">
        <f>_xll.RssFOPMarket($E67,G$1)</f>
        <v/>
      </c>
      <c r="H67" t="str">
        <f>_xll.RssFOPMarket($E67,H$1)</f>
        <v/>
      </c>
      <c r="I67" t="str">
        <f>_xll.RssFOPMarket($E67,I$1)</f>
        <v/>
      </c>
      <c r="J67" t="str">
        <f>_xll.RssFOPMarket($E67,J$1)</f>
        <v/>
      </c>
      <c r="K67" t="str">
        <f>_xll.RssFOPMarket($E67,K$1)</f>
        <v/>
      </c>
      <c r="L67" t="str">
        <f>_xll.RssFOPMarket($E67,L$1)</f>
        <v/>
      </c>
      <c r="M67" t="str">
        <f>_xll.RssFOPMarket($E67,M$1)</f>
        <v/>
      </c>
      <c r="N67" t="str">
        <f>_xll.RssFOPMarket($E67,N$1)</f>
        <v/>
      </c>
      <c r="O67" t="str">
        <f>_xll.RssFOPMarket($E67,O$1)</f>
        <v/>
      </c>
      <c r="P67" t="str">
        <f>_xll.RssFOPMarket($E67,P$1)</f>
        <v/>
      </c>
      <c r="Q67" t="str">
        <f>_xll.RssFOPMarket($E67,Q$1)</f>
        <v/>
      </c>
    </row>
    <row r="68" spans="1:17" x14ac:dyDescent="0.4">
      <c r="A68" t="str">
        <f>A67</f>
        <v>N225MOP</v>
      </c>
      <c r="B68">
        <f>B67</f>
        <v>202310</v>
      </c>
      <c r="C68" t="str">
        <f>C67</f>
        <v>C</v>
      </c>
      <c r="D68">
        <f>D67-125</f>
        <v>28250</v>
      </c>
      <c r="E68" t="str">
        <f>_xll.RssFOPCode(A68,B68,IF(C68="C",1,IF(C68="P",2,"")),D68)</f>
        <v>マーケットスピード II にログインして「接続中」の状態に変更してから利用してください。</v>
      </c>
      <c r="F68" t="str">
        <f>_xll.RssFOPMarket($E68,F$1)</f>
        <v/>
      </c>
      <c r="G68" t="str">
        <f>_xll.RssFOPMarket($E68,G$1)</f>
        <v/>
      </c>
      <c r="H68" t="str">
        <f>_xll.RssFOPMarket($E68,H$1)</f>
        <v/>
      </c>
      <c r="I68" t="str">
        <f>_xll.RssFOPMarket($E68,I$1)</f>
        <v/>
      </c>
      <c r="J68" t="str">
        <f>_xll.RssFOPMarket($E68,J$1)</f>
        <v/>
      </c>
      <c r="K68" t="str">
        <f>_xll.RssFOPMarket($E68,K$1)</f>
        <v/>
      </c>
      <c r="L68" t="str">
        <f>_xll.RssFOPMarket($E68,L$1)</f>
        <v/>
      </c>
      <c r="M68" t="str">
        <f>_xll.RssFOPMarket($E68,M$1)</f>
        <v/>
      </c>
      <c r="N68" t="str">
        <f>_xll.RssFOPMarket($E68,N$1)</f>
        <v/>
      </c>
      <c r="O68" t="str">
        <f>_xll.RssFOPMarket($E68,O$1)</f>
        <v/>
      </c>
      <c r="P68" t="str">
        <f>_xll.RssFOPMarket($E68,P$1)</f>
        <v/>
      </c>
      <c r="Q68" t="str">
        <f>_xll.RssFOPMarket($E68,Q$1)</f>
        <v/>
      </c>
    </row>
    <row r="101" spans="1:17" x14ac:dyDescent="0.4">
      <c r="A101" t="s">
        <v>23</v>
      </c>
      <c r="B101" t="s">
        <v>24</v>
      </c>
      <c r="C101" t="s">
        <v>13</v>
      </c>
      <c r="D101" t="s">
        <v>25</v>
      </c>
      <c r="E101" t="s">
        <v>26</v>
      </c>
      <c r="F101" t="s">
        <v>27</v>
      </c>
      <c r="G101" t="s">
        <v>28</v>
      </c>
      <c r="H101" t="s">
        <v>29</v>
      </c>
      <c r="I101" t="s">
        <v>30</v>
      </c>
      <c r="J101" t="s">
        <v>31</v>
      </c>
      <c r="K101" t="s">
        <v>32</v>
      </c>
      <c r="L101" t="s">
        <v>33</v>
      </c>
      <c r="M101" t="s">
        <v>34</v>
      </c>
      <c r="N101" t="s">
        <v>35</v>
      </c>
      <c r="O101" t="s">
        <v>36</v>
      </c>
      <c r="P101" t="s">
        <v>37</v>
      </c>
      <c r="Q101" t="s">
        <v>38</v>
      </c>
    </row>
    <row r="102" spans="1:17" x14ac:dyDescent="0.4">
      <c r="A102" t="s">
        <v>14</v>
      </c>
      <c r="B102">
        <v>202310</v>
      </c>
      <c r="C102" t="s">
        <v>15</v>
      </c>
      <c r="D102">
        <v>36500</v>
      </c>
      <c r="E102" t="s">
        <v>87</v>
      </c>
    </row>
    <row r="103" spans="1:17" x14ac:dyDescent="0.4">
      <c r="A103" t="s">
        <v>14</v>
      </c>
      <c r="B103">
        <v>202310</v>
      </c>
      <c r="C103" t="s">
        <v>15</v>
      </c>
      <c r="D103">
        <v>36375</v>
      </c>
      <c r="E103" t="s">
        <v>87</v>
      </c>
    </row>
    <row r="104" spans="1:17" x14ac:dyDescent="0.4">
      <c r="A104" t="s">
        <v>14</v>
      </c>
      <c r="B104">
        <v>202310</v>
      </c>
      <c r="C104" t="s">
        <v>15</v>
      </c>
      <c r="D104">
        <v>36250</v>
      </c>
      <c r="E104" t="s">
        <v>87</v>
      </c>
    </row>
    <row r="105" spans="1:17" x14ac:dyDescent="0.4">
      <c r="A105" t="s">
        <v>14</v>
      </c>
      <c r="B105">
        <v>202310</v>
      </c>
      <c r="C105" t="s">
        <v>15</v>
      </c>
      <c r="D105">
        <v>36125</v>
      </c>
      <c r="E105" t="s">
        <v>87</v>
      </c>
    </row>
    <row r="106" spans="1:17" x14ac:dyDescent="0.4">
      <c r="A106" t="s">
        <v>14</v>
      </c>
      <c r="B106">
        <v>202310</v>
      </c>
      <c r="C106" t="s">
        <v>15</v>
      </c>
      <c r="D106">
        <v>36000</v>
      </c>
      <c r="E106" t="s">
        <v>87</v>
      </c>
    </row>
    <row r="107" spans="1:17" x14ac:dyDescent="0.4">
      <c r="A107" t="s">
        <v>14</v>
      </c>
      <c r="B107">
        <v>202310</v>
      </c>
      <c r="C107" t="s">
        <v>15</v>
      </c>
      <c r="D107">
        <v>35875</v>
      </c>
      <c r="E107" t="s">
        <v>87</v>
      </c>
    </row>
    <row r="108" spans="1:17" x14ac:dyDescent="0.4">
      <c r="A108" t="s">
        <v>14</v>
      </c>
      <c r="B108">
        <v>202310</v>
      </c>
      <c r="C108" t="s">
        <v>15</v>
      </c>
      <c r="D108">
        <v>35750</v>
      </c>
      <c r="E108" t="s">
        <v>87</v>
      </c>
    </row>
    <row r="109" spans="1:17" x14ac:dyDescent="0.4">
      <c r="A109" t="s">
        <v>14</v>
      </c>
      <c r="B109">
        <v>202310</v>
      </c>
      <c r="C109" t="s">
        <v>15</v>
      </c>
      <c r="D109">
        <v>35625</v>
      </c>
      <c r="E109" t="s">
        <v>87</v>
      </c>
    </row>
    <row r="110" spans="1:17" x14ac:dyDescent="0.4">
      <c r="A110" t="s">
        <v>14</v>
      </c>
      <c r="B110">
        <v>202310</v>
      </c>
      <c r="C110" t="s">
        <v>15</v>
      </c>
      <c r="D110">
        <v>35500</v>
      </c>
      <c r="E110" t="s">
        <v>87</v>
      </c>
    </row>
    <row r="111" spans="1:17" x14ac:dyDescent="0.4">
      <c r="A111" t="s">
        <v>14</v>
      </c>
      <c r="B111">
        <v>202310</v>
      </c>
      <c r="C111" t="s">
        <v>15</v>
      </c>
      <c r="D111">
        <v>35375</v>
      </c>
      <c r="E111" t="s">
        <v>87</v>
      </c>
    </row>
    <row r="112" spans="1:17" x14ac:dyDescent="0.4">
      <c r="A112" t="s">
        <v>14</v>
      </c>
      <c r="B112">
        <v>202310</v>
      </c>
      <c r="C112" t="s">
        <v>15</v>
      </c>
      <c r="D112">
        <v>35250</v>
      </c>
      <c r="E112" t="s">
        <v>87</v>
      </c>
      <c r="F112" s="2"/>
    </row>
    <row r="113" spans="1:6" x14ac:dyDescent="0.4">
      <c r="A113" t="s">
        <v>14</v>
      </c>
      <c r="B113">
        <v>202310</v>
      </c>
      <c r="C113" t="s">
        <v>15</v>
      </c>
      <c r="D113">
        <v>35125</v>
      </c>
      <c r="E113" t="s">
        <v>87</v>
      </c>
    </row>
    <row r="114" spans="1:6" x14ac:dyDescent="0.4">
      <c r="A114" t="s">
        <v>14</v>
      </c>
      <c r="B114">
        <v>202310</v>
      </c>
      <c r="C114" t="s">
        <v>15</v>
      </c>
      <c r="D114">
        <v>35000</v>
      </c>
      <c r="E114" t="s">
        <v>87</v>
      </c>
    </row>
    <row r="115" spans="1:6" x14ac:dyDescent="0.4">
      <c r="A115" t="s">
        <v>14</v>
      </c>
      <c r="B115">
        <v>202310</v>
      </c>
      <c r="C115" t="s">
        <v>15</v>
      </c>
      <c r="D115">
        <v>34875</v>
      </c>
      <c r="E115" t="s">
        <v>87</v>
      </c>
    </row>
    <row r="116" spans="1:6" x14ac:dyDescent="0.4">
      <c r="A116" t="s">
        <v>14</v>
      </c>
      <c r="B116">
        <v>202310</v>
      </c>
      <c r="C116" t="s">
        <v>15</v>
      </c>
      <c r="D116">
        <v>34750</v>
      </c>
      <c r="E116" t="s">
        <v>87</v>
      </c>
    </row>
    <row r="117" spans="1:6" x14ac:dyDescent="0.4">
      <c r="A117" t="s">
        <v>14</v>
      </c>
      <c r="B117">
        <v>202310</v>
      </c>
      <c r="C117" t="s">
        <v>15</v>
      </c>
      <c r="D117">
        <v>34625</v>
      </c>
      <c r="E117" t="s">
        <v>87</v>
      </c>
    </row>
    <row r="118" spans="1:6" x14ac:dyDescent="0.4">
      <c r="A118" t="s">
        <v>14</v>
      </c>
      <c r="B118">
        <v>202310</v>
      </c>
      <c r="C118" t="s">
        <v>15</v>
      </c>
      <c r="D118">
        <v>34500</v>
      </c>
      <c r="E118" t="s">
        <v>87</v>
      </c>
      <c r="F118" s="2"/>
    </row>
    <row r="119" spans="1:6" x14ac:dyDescent="0.4">
      <c r="A119" t="s">
        <v>14</v>
      </c>
      <c r="B119">
        <v>202310</v>
      </c>
      <c r="C119" t="s">
        <v>15</v>
      </c>
      <c r="D119">
        <v>34375</v>
      </c>
      <c r="E119" t="s">
        <v>87</v>
      </c>
    </row>
    <row r="120" spans="1:6" x14ac:dyDescent="0.4">
      <c r="A120" t="s">
        <v>14</v>
      </c>
      <c r="B120">
        <v>202310</v>
      </c>
      <c r="C120" t="s">
        <v>15</v>
      </c>
      <c r="D120">
        <v>34250</v>
      </c>
      <c r="E120" t="s">
        <v>87</v>
      </c>
      <c r="F120" s="2"/>
    </row>
    <row r="121" spans="1:6" x14ac:dyDescent="0.4">
      <c r="A121" t="s">
        <v>14</v>
      </c>
      <c r="B121">
        <v>202310</v>
      </c>
      <c r="C121" t="s">
        <v>15</v>
      </c>
      <c r="D121">
        <v>34125</v>
      </c>
      <c r="E121" t="s">
        <v>87</v>
      </c>
      <c r="F121" s="2"/>
    </row>
    <row r="122" spans="1:6" x14ac:dyDescent="0.4">
      <c r="A122" t="s">
        <v>14</v>
      </c>
      <c r="B122">
        <v>202310</v>
      </c>
      <c r="C122" t="s">
        <v>15</v>
      </c>
      <c r="D122">
        <v>34000</v>
      </c>
      <c r="E122" t="s">
        <v>87</v>
      </c>
      <c r="F122" s="2"/>
    </row>
    <row r="123" spans="1:6" x14ac:dyDescent="0.4">
      <c r="A123" t="s">
        <v>14</v>
      </c>
      <c r="B123">
        <v>202310</v>
      </c>
      <c r="C123" t="s">
        <v>15</v>
      </c>
      <c r="D123">
        <v>33875</v>
      </c>
      <c r="E123" t="s">
        <v>87</v>
      </c>
      <c r="F123" s="2"/>
    </row>
    <row r="124" spans="1:6" x14ac:dyDescent="0.4">
      <c r="A124" t="s">
        <v>14</v>
      </c>
      <c r="B124">
        <v>202310</v>
      </c>
      <c r="C124" t="s">
        <v>15</v>
      </c>
      <c r="D124">
        <v>33750</v>
      </c>
      <c r="E124" t="s">
        <v>87</v>
      </c>
      <c r="F124" s="2"/>
    </row>
    <row r="125" spans="1:6" x14ac:dyDescent="0.4">
      <c r="A125" t="s">
        <v>14</v>
      </c>
      <c r="B125">
        <v>202310</v>
      </c>
      <c r="C125" t="s">
        <v>15</v>
      </c>
      <c r="D125">
        <v>33625</v>
      </c>
      <c r="E125" t="s">
        <v>87</v>
      </c>
      <c r="F125" s="2"/>
    </row>
    <row r="126" spans="1:6" x14ac:dyDescent="0.4">
      <c r="A126" t="s">
        <v>14</v>
      </c>
      <c r="B126">
        <v>202310</v>
      </c>
      <c r="C126" t="s">
        <v>15</v>
      </c>
      <c r="D126">
        <v>33500</v>
      </c>
      <c r="E126" t="s">
        <v>87</v>
      </c>
      <c r="F126" s="2"/>
    </row>
    <row r="127" spans="1:6" x14ac:dyDescent="0.4">
      <c r="A127" t="s">
        <v>14</v>
      </c>
      <c r="B127">
        <v>202310</v>
      </c>
      <c r="C127" t="s">
        <v>15</v>
      </c>
      <c r="D127">
        <v>33375</v>
      </c>
      <c r="E127" t="s">
        <v>87</v>
      </c>
      <c r="F127" s="2"/>
    </row>
    <row r="128" spans="1:6" x14ac:dyDescent="0.4">
      <c r="A128" t="s">
        <v>14</v>
      </c>
      <c r="B128">
        <v>202310</v>
      </c>
      <c r="C128" t="s">
        <v>15</v>
      </c>
      <c r="D128">
        <v>33250</v>
      </c>
      <c r="E128" t="s">
        <v>87</v>
      </c>
      <c r="F128" s="2"/>
    </row>
    <row r="129" spans="1:6" x14ac:dyDescent="0.4">
      <c r="A129" t="s">
        <v>14</v>
      </c>
      <c r="B129">
        <v>202310</v>
      </c>
      <c r="C129" t="s">
        <v>15</v>
      </c>
      <c r="D129">
        <v>33125</v>
      </c>
      <c r="E129" t="s">
        <v>87</v>
      </c>
    </row>
    <row r="130" spans="1:6" x14ac:dyDescent="0.4">
      <c r="A130" t="s">
        <v>14</v>
      </c>
      <c r="B130">
        <v>202310</v>
      </c>
      <c r="C130" t="s">
        <v>15</v>
      </c>
      <c r="D130">
        <v>33000</v>
      </c>
      <c r="E130" t="s">
        <v>87</v>
      </c>
      <c r="F130" s="2"/>
    </row>
    <row r="131" spans="1:6" x14ac:dyDescent="0.4">
      <c r="A131" t="s">
        <v>14</v>
      </c>
      <c r="B131">
        <v>202310</v>
      </c>
      <c r="C131" t="s">
        <v>15</v>
      </c>
      <c r="D131">
        <v>32875</v>
      </c>
      <c r="E131" t="s">
        <v>87</v>
      </c>
      <c r="F131" s="2"/>
    </row>
    <row r="132" spans="1:6" x14ac:dyDescent="0.4">
      <c r="A132" t="s">
        <v>14</v>
      </c>
      <c r="B132">
        <v>202310</v>
      </c>
      <c r="C132" t="s">
        <v>15</v>
      </c>
      <c r="D132">
        <v>32750</v>
      </c>
      <c r="E132" t="s">
        <v>87</v>
      </c>
      <c r="F132" s="2"/>
    </row>
    <row r="133" spans="1:6" x14ac:dyDescent="0.4">
      <c r="A133" t="s">
        <v>14</v>
      </c>
      <c r="B133">
        <v>202310</v>
      </c>
      <c r="C133" t="s">
        <v>15</v>
      </c>
      <c r="D133">
        <v>32625</v>
      </c>
      <c r="E133" t="s">
        <v>87</v>
      </c>
      <c r="F133" s="2"/>
    </row>
    <row r="134" spans="1:6" x14ac:dyDescent="0.4">
      <c r="A134" t="s">
        <v>14</v>
      </c>
      <c r="B134">
        <v>202310</v>
      </c>
      <c r="C134" t="s">
        <v>15</v>
      </c>
      <c r="D134">
        <v>32500</v>
      </c>
      <c r="E134" t="s">
        <v>87</v>
      </c>
      <c r="F134" s="2"/>
    </row>
    <row r="135" spans="1:6" x14ac:dyDescent="0.4">
      <c r="A135" t="s">
        <v>14</v>
      </c>
      <c r="B135">
        <v>202310</v>
      </c>
      <c r="C135" t="s">
        <v>15</v>
      </c>
      <c r="D135">
        <v>32375</v>
      </c>
      <c r="E135" t="s">
        <v>87</v>
      </c>
      <c r="F135" s="2"/>
    </row>
    <row r="136" spans="1:6" x14ac:dyDescent="0.4">
      <c r="A136" t="s">
        <v>14</v>
      </c>
      <c r="B136">
        <v>202310</v>
      </c>
      <c r="C136" t="s">
        <v>15</v>
      </c>
      <c r="D136">
        <v>32250</v>
      </c>
      <c r="E136" t="s">
        <v>87</v>
      </c>
      <c r="F136" s="2"/>
    </row>
    <row r="137" spans="1:6" x14ac:dyDescent="0.4">
      <c r="A137" t="s">
        <v>14</v>
      </c>
      <c r="B137">
        <v>202310</v>
      </c>
      <c r="C137" t="s">
        <v>15</v>
      </c>
      <c r="D137">
        <v>32125</v>
      </c>
      <c r="E137" t="s">
        <v>87</v>
      </c>
      <c r="F137" s="2"/>
    </row>
    <row r="138" spans="1:6" x14ac:dyDescent="0.4">
      <c r="A138" t="s">
        <v>14</v>
      </c>
      <c r="B138">
        <v>202310</v>
      </c>
      <c r="C138" t="s">
        <v>15</v>
      </c>
      <c r="D138">
        <v>32000</v>
      </c>
      <c r="E138" t="s">
        <v>87</v>
      </c>
      <c r="F138" s="2"/>
    </row>
    <row r="139" spans="1:6" x14ac:dyDescent="0.4">
      <c r="A139" t="s">
        <v>14</v>
      </c>
      <c r="B139">
        <v>202310</v>
      </c>
      <c r="C139" t="s">
        <v>15</v>
      </c>
      <c r="D139">
        <v>31875</v>
      </c>
      <c r="E139" t="s">
        <v>87</v>
      </c>
      <c r="F139" s="2"/>
    </row>
    <row r="140" spans="1:6" x14ac:dyDescent="0.4">
      <c r="A140" t="s">
        <v>14</v>
      </c>
      <c r="B140">
        <v>202310</v>
      </c>
      <c r="C140" t="s">
        <v>15</v>
      </c>
      <c r="D140">
        <v>31750</v>
      </c>
      <c r="E140" t="s">
        <v>87</v>
      </c>
      <c r="F140" s="2"/>
    </row>
    <row r="141" spans="1:6" x14ac:dyDescent="0.4">
      <c r="A141" t="s">
        <v>14</v>
      </c>
      <c r="B141">
        <v>202310</v>
      </c>
      <c r="C141" t="s">
        <v>15</v>
      </c>
      <c r="D141">
        <v>31625</v>
      </c>
      <c r="E141" t="s">
        <v>87</v>
      </c>
      <c r="F141" s="2"/>
    </row>
    <row r="142" spans="1:6" x14ac:dyDescent="0.4">
      <c r="A142" t="s">
        <v>14</v>
      </c>
      <c r="B142">
        <v>202310</v>
      </c>
      <c r="C142" t="s">
        <v>15</v>
      </c>
      <c r="D142">
        <v>31500</v>
      </c>
      <c r="E142" t="s">
        <v>87</v>
      </c>
      <c r="F142" s="2"/>
    </row>
    <row r="143" spans="1:6" x14ac:dyDescent="0.4">
      <c r="A143" t="s">
        <v>14</v>
      </c>
      <c r="B143">
        <v>202310</v>
      </c>
      <c r="C143" t="s">
        <v>15</v>
      </c>
      <c r="D143">
        <v>31375</v>
      </c>
      <c r="E143" t="s">
        <v>87</v>
      </c>
      <c r="F143" s="2"/>
    </row>
    <row r="144" spans="1:6" x14ac:dyDescent="0.4">
      <c r="A144" t="s">
        <v>14</v>
      </c>
      <c r="B144">
        <v>202310</v>
      </c>
      <c r="C144" t="s">
        <v>15</v>
      </c>
      <c r="D144">
        <v>31250</v>
      </c>
      <c r="E144" t="s">
        <v>87</v>
      </c>
      <c r="F144" s="2"/>
    </row>
    <row r="145" spans="1:6" x14ac:dyDescent="0.4">
      <c r="A145" t="s">
        <v>14</v>
      </c>
      <c r="B145">
        <v>202310</v>
      </c>
      <c r="C145" t="s">
        <v>15</v>
      </c>
      <c r="D145">
        <v>31125</v>
      </c>
      <c r="E145" t="s">
        <v>87</v>
      </c>
      <c r="F145" s="2"/>
    </row>
    <row r="146" spans="1:6" x14ac:dyDescent="0.4">
      <c r="A146" t="s">
        <v>14</v>
      </c>
      <c r="B146">
        <v>202310</v>
      </c>
      <c r="C146" t="s">
        <v>15</v>
      </c>
      <c r="D146">
        <v>31000</v>
      </c>
      <c r="E146" t="s">
        <v>87</v>
      </c>
      <c r="F146" s="2"/>
    </row>
    <row r="147" spans="1:6" x14ac:dyDescent="0.4">
      <c r="A147" t="s">
        <v>14</v>
      </c>
      <c r="B147">
        <v>202310</v>
      </c>
      <c r="C147" t="s">
        <v>15</v>
      </c>
      <c r="D147">
        <v>30875</v>
      </c>
      <c r="E147" t="s">
        <v>87</v>
      </c>
      <c r="F147" s="2"/>
    </row>
    <row r="148" spans="1:6" x14ac:dyDescent="0.4">
      <c r="A148" t="s">
        <v>14</v>
      </c>
      <c r="B148">
        <v>202310</v>
      </c>
      <c r="C148" t="s">
        <v>15</v>
      </c>
      <c r="D148">
        <v>30750</v>
      </c>
      <c r="E148" t="s">
        <v>87</v>
      </c>
      <c r="F148" s="2"/>
    </row>
    <row r="149" spans="1:6" x14ac:dyDescent="0.4">
      <c r="A149" t="s">
        <v>14</v>
      </c>
      <c r="B149">
        <v>202310</v>
      </c>
      <c r="C149" t="s">
        <v>15</v>
      </c>
      <c r="D149">
        <v>30625</v>
      </c>
      <c r="E149" t="s">
        <v>87</v>
      </c>
    </row>
    <row r="150" spans="1:6" x14ac:dyDescent="0.4">
      <c r="A150" t="s">
        <v>14</v>
      </c>
      <c r="B150">
        <v>202310</v>
      </c>
      <c r="C150" t="s">
        <v>15</v>
      </c>
      <c r="D150">
        <v>30500</v>
      </c>
      <c r="E150" t="s">
        <v>87</v>
      </c>
      <c r="F150" s="2"/>
    </row>
    <row r="151" spans="1:6" x14ac:dyDescent="0.4">
      <c r="A151" t="s">
        <v>14</v>
      </c>
      <c r="B151">
        <v>202310</v>
      </c>
      <c r="C151" t="s">
        <v>15</v>
      </c>
      <c r="D151">
        <v>30375</v>
      </c>
      <c r="E151" t="s">
        <v>87</v>
      </c>
    </row>
    <row r="152" spans="1:6" x14ac:dyDescent="0.4">
      <c r="A152" t="s">
        <v>14</v>
      </c>
      <c r="B152">
        <v>202310</v>
      </c>
      <c r="C152" t="s">
        <v>15</v>
      </c>
      <c r="D152">
        <v>30250</v>
      </c>
      <c r="E152" t="s">
        <v>87</v>
      </c>
    </row>
    <row r="153" spans="1:6" x14ac:dyDescent="0.4">
      <c r="A153" t="s">
        <v>14</v>
      </c>
      <c r="B153">
        <v>202310</v>
      </c>
      <c r="C153" t="s">
        <v>15</v>
      </c>
      <c r="D153">
        <v>30125</v>
      </c>
      <c r="E153" t="s">
        <v>87</v>
      </c>
    </row>
    <row r="154" spans="1:6" x14ac:dyDescent="0.4">
      <c r="A154" t="s">
        <v>14</v>
      </c>
      <c r="B154">
        <v>202310</v>
      </c>
      <c r="C154" t="s">
        <v>15</v>
      </c>
      <c r="D154">
        <v>30000</v>
      </c>
      <c r="E154" t="s">
        <v>87</v>
      </c>
    </row>
    <row r="155" spans="1:6" x14ac:dyDescent="0.4">
      <c r="A155" t="s">
        <v>14</v>
      </c>
      <c r="B155">
        <v>202310</v>
      </c>
      <c r="C155" t="s">
        <v>15</v>
      </c>
      <c r="D155">
        <v>29875</v>
      </c>
      <c r="E155" t="s">
        <v>87</v>
      </c>
    </row>
    <row r="156" spans="1:6" x14ac:dyDescent="0.4">
      <c r="A156" t="s">
        <v>14</v>
      </c>
      <c r="B156">
        <v>202310</v>
      </c>
      <c r="C156" t="s">
        <v>15</v>
      </c>
      <c r="D156">
        <v>29750</v>
      </c>
      <c r="E156" t="s">
        <v>87</v>
      </c>
    </row>
    <row r="157" spans="1:6" x14ac:dyDescent="0.4">
      <c r="A157" t="s">
        <v>14</v>
      </c>
      <c r="B157">
        <v>202310</v>
      </c>
      <c r="C157" t="s">
        <v>15</v>
      </c>
      <c r="D157">
        <v>29625</v>
      </c>
      <c r="E157" t="s">
        <v>87</v>
      </c>
    </row>
    <row r="158" spans="1:6" x14ac:dyDescent="0.4">
      <c r="A158" t="s">
        <v>14</v>
      </c>
      <c r="B158">
        <v>202310</v>
      </c>
      <c r="C158" t="s">
        <v>15</v>
      </c>
      <c r="D158">
        <v>29500</v>
      </c>
      <c r="E158" t="s">
        <v>87</v>
      </c>
    </row>
    <row r="159" spans="1:6" x14ac:dyDescent="0.4">
      <c r="A159" t="s">
        <v>14</v>
      </c>
      <c r="B159">
        <v>202310</v>
      </c>
      <c r="C159" t="s">
        <v>15</v>
      </c>
      <c r="D159">
        <v>29375</v>
      </c>
      <c r="E159" t="s">
        <v>87</v>
      </c>
    </row>
    <row r="160" spans="1:6" x14ac:dyDescent="0.4">
      <c r="A160" t="s">
        <v>14</v>
      </c>
      <c r="B160">
        <v>202310</v>
      </c>
      <c r="C160" t="s">
        <v>15</v>
      </c>
      <c r="D160">
        <v>29250</v>
      </c>
      <c r="E160" t="s">
        <v>87</v>
      </c>
    </row>
    <row r="161" spans="1:5" x14ac:dyDescent="0.4">
      <c r="A161" t="s">
        <v>14</v>
      </c>
      <c r="B161">
        <v>202310</v>
      </c>
      <c r="C161" t="s">
        <v>15</v>
      </c>
      <c r="D161">
        <v>29125</v>
      </c>
      <c r="E161" t="s">
        <v>87</v>
      </c>
    </row>
    <row r="162" spans="1:5" x14ac:dyDescent="0.4">
      <c r="A162" t="s">
        <v>14</v>
      </c>
      <c r="B162">
        <v>202310</v>
      </c>
      <c r="C162" t="s">
        <v>15</v>
      </c>
      <c r="D162">
        <v>29000</v>
      </c>
      <c r="E162" t="s">
        <v>87</v>
      </c>
    </row>
    <row r="163" spans="1:5" x14ac:dyDescent="0.4">
      <c r="A163" t="s">
        <v>14</v>
      </c>
      <c r="B163">
        <v>202310</v>
      </c>
      <c r="C163" t="s">
        <v>15</v>
      </c>
      <c r="D163">
        <v>28875</v>
      </c>
      <c r="E163" t="s">
        <v>87</v>
      </c>
    </row>
    <row r="164" spans="1:5" x14ac:dyDescent="0.4">
      <c r="A164" t="s">
        <v>14</v>
      </c>
      <c r="B164">
        <v>202310</v>
      </c>
      <c r="C164" t="s">
        <v>15</v>
      </c>
      <c r="D164">
        <v>28750</v>
      </c>
      <c r="E164" t="s">
        <v>87</v>
      </c>
    </row>
    <row r="165" spans="1:5" x14ac:dyDescent="0.4">
      <c r="A165" t="s">
        <v>14</v>
      </c>
      <c r="B165">
        <v>202310</v>
      </c>
      <c r="C165" t="s">
        <v>15</v>
      </c>
      <c r="D165">
        <v>28625</v>
      </c>
      <c r="E165" t="s">
        <v>87</v>
      </c>
    </row>
    <row r="166" spans="1:5" x14ac:dyDescent="0.4">
      <c r="A166" t="s">
        <v>14</v>
      </c>
      <c r="B166">
        <v>202310</v>
      </c>
      <c r="C166" t="s">
        <v>15</v>
      </c>
      <c r="D166">
        <v>28500</v>
      </c>
      <c r="E166" t="s">
        <v>87</v>
      </c>
    </row>
    <row r="167" spans="1:5" x14ac:dyDescent="0.4">
      <c r="A167" t="s">
        <v>14</v>
      </c>
      <c r="B167">
        <v>202310</v>
      </c>
      <c r="C167" t="s">
        <v>15</v>
      </c>
      <c r="D167">
        <v>28375</v>
      </c>
      <c r="E167" t="s">
        <v>87</v>
      </c>
    </row>
    <row r="168" spans="1:5" x14ac:dyDescent="0.4">
      <c r="A168" t="s">
        <v>14</v>
      </c>
      <c r="B168">
        <v>202310</v>
      </c>
      <c r="C168" t="s">
        <v>15</v>
      </c>
      <c r="D168">
        <v>28250</v>
      </c>
      <c r="E168" t="s">
        <v>87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F8B77-AD5E-4099-BA46-9FE30550A284}">
  <sheetPr codeName="Sheet4"/>
  <dimension ref="A1:Q168"/>
  <sheetViews>
    <sheetView workbookViewId="0">
      <pane ySplit="1" topLeftCell="A92" activePane="bottomLeft" state="frozen"/>
      <selection pane="bottomLeft" activeCell="F105" sqref="F105"/>
    </sheetView>
  </sheetViews>
  <sheetFormatPr defaultRowHeight="18.75" x14ac:dyDescent="0.4"/>
  <cols>
    <col min="1" max="1" width="10.25" bestFit="1" customWidth="1"/>
    <col min="2" max="2" width="9.625" bestFit="1" customWidth="1"/>
    <col min="3" max="3" width="4.875" bestFit="1" customWidth="1"/>
    <col min="4" max="4" width="9" bestFit="1" customWidth="1"/>
    <col min="5" max="5" width="11" bestFit="1" customWidth="1"/>
  </cols>
  <sheetData>
    <row r="1" spans="1:17" x14ac:dyDescent="0.4">
      <c r="A1" t="s">
        <v>11</v>
      </c>
      <c r="B1" t="s">
        <v>12</v>
      </c>
      <c r="C1" t="s">
        <v>13</v>
      </c>
      <c r="D1" t="s">
        <v>0</v>
      </c>
      <c r="E1" t="s">
        <v>17</v>
      </c>
      <c r="F1" t="s">
        <v>2</v>
      </c>
      <c r="G1" t="s">
        <v>1</v>
      </c>
      <c r="H1" s="1" t="s">
        <v>21</v>
      </c>
      <c r="I1" t="s">
        <v>9</v>
      </c>
      <c r="J1" t="s">
        <v>10</v>
      </c>
      <c r="K1" t="s">
        <v>3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s="1" t="s">
        <v>22</v>
      </c>
    </row>
    <row r="2" spans="1:17" x14ac:dyDescent="0.4">
      <c r="A2" t="s">
        <v>14</v>
      </c>
      <c r="B2">
        <v>202310</v>
      </c>
      <c r="C2" t="s">
        <v>16</v>
      </c>
      <c r="D2">
        <v>36500</v>
      </c>
      <c r="E2" t="str">
        <f>_xll.RssFOPCode(A2,B2,IF(C2="C",1,IF(C2="P",2,"")),D2)</f>
        <v>マーケットスピード II にログインして「接続中」の状態に変更してから利用してください。</v>
      </c>
      <c r="F2" t="str">
        <f>_xll.RssFOPMarket($E2,F$1)</f>
        <v/>
      </c>
      <c r="G2" t="str">
        <f>_xll.RssFOPMarket($E2,G$1)</f>
        <v/>
      </c>
      <c r="H2" t="str">
        <f>_xll.RssFOPMarket($E2,H$1)</f>
        <v/>
      </c>
      <c r="I2" t="str">
        <f>_xll.RssFOPMarket($E2,I$1)</f>
        <v/>
      </c>
      <c r="J2" t="str">
        <f>_xll.RssFOPMarket($E2,J$1)</f>
        <v/>
      </c>
      <c r="K2" t="str">
        <f>_xll.RssFOPMarket($E2,K$1)</f>
        <v/>
      </c>
      <c r="L2" t="str">
        <f>_xll.RssFOPMarket($E2,L$1)</f>
        <v/>
      </c>
      <c r="M2" t="str">
        <f>_xll.RssFOPMarket($E2,M$1)</f>
        <v/>
      </c>
      <c r="N2" t="str">
        <f>_xll.RssFOPMarket($E2,N$1)</f>
        <v/>
      </c>
      <c r="O2" t="str">
        <f>_xll.RssFOPMarket($E2,O$1)</f>
        <v/>
      </c>
      <c r="P2" t="str">
        <f>_xll.RssFOPMarket($E2,P$1)</f>
        <v/>
      </c>
      <c r="Q2" t="str">
        <f>_xll.RssFOPMarket($E2,Q$1)</f>
        <v/>
      </c>
    </row>
    <row r="3" spans="1:17" x14ac:dyDescent="0.4">
      <c r="A3" t="str">
        <f>A2</f>
        <v>N225MOP</v>
      </c>
      <c r="B3">
        <f>B2</f>
        <v>202310</v>
      </c>
      <c r="C3" t="str">
        <f>C2</f>
        <v>P</v>
      </c>
      <c r="D3">
        <f>D2-125</f>
        <v>36375</v>
      </c>
      <c r="E3" t="str">
        <f>_xll.RssFOPCode(A3,B3,IF(C3="C",1,IF(C3="P",2,"")),D3)</f>
        <v>マーケットスピード II にログインして「接続中」の状態に変更してから利用してください。</v>
      </c>
      <c r="F3" t="str">
        <f>_xll.RssFOPMarket($E3,F$1)</f>
        <v/>
      </c>
      <c r="G3" t="str">
        <f>_xll.RssFOPMarket($E3,G$1)</f>
        <v/>
      </c>
      <c r="H3" t="str">
        <f>_xll.RssFOPMarket($E3,H$1)</f>
        <v/>
      </c>
      <c r="I3" t="str">
        <f>_xll.RssFOPMarket($E3,I$1)</f>
        <v/>
      </c>
      <c r="J3" t="str">
        <f>_xll.RssFOPMarket($E3,J$1)</f>
        <v/>
      </c>
      <c r="K3" t="str">
        <f>_xll.RssFOPMarket($E3,K$1)</f>
        <v/>
      </c>
      <c r="L3" t="str">
        <f>_xll.RssFOPMarket($E3,L$1)</f>
        <v/>
      </c>
      <c r="M3" t="str">
        <f>_xll.RssFOPMarket($E3,M$1)</f>
        <v/>
      </c>
      <c r="N3" t="str">
        <f>_xll.RssFOPMarket($E3,N$1)</f>
        <v/>
      </c>
      <c r="O3" t="str">
        <f>_xll.RssFOPMarket($E3,O$1)</f>
        <v/>
      </c>
      <c r="P3" t="str">
        <f>_xll.RssFOPMarket($E3,P$1)</f>
        <v/>
      </c>
      <c r="Q3" t="str">
        <f>_xll.RssFOPMarket($E3,Q$1)</f>
        <v/>
      </c>
    </row>
    <row r="4" spans="1:17" x14ac:dyDescent="0.4">
      <c r="A4" t="str">
        <f t="shared" ref="A4:C67" si="0">A3</f>
        <v>N225MOP</v>
      </c>
      <c r="B4">
        <f t="shared" si="0"/>
        <v>202310</v>
      </c>
      <c r="C4" t="str">
        <f t="shared" si="0"/>
        <v>P</v>
      </c>
      <c r="D4">
        <f t="shared" ref="D4:D67" si="1">D3-125</f>
        <v>36250</v>
      </c>
      <c r="E4" t="str">
        <f>_xll.RssFOPCode(A4,B4,IF(C4="C",1,IF(C4="P",2,"")),D4)</f>
        <v>マーケットスピード II にログインして「接続中」の状態に変更してから利用してください。</v>
      </c>
      <c r="F4" t="str">
        <f>_xll.RssFOPMarket($E4,F$1)</f>
        <v/>
      </c>
      <c r="G4" t="str">
        <f>_xll.RssFOPMarket($E4,G$1)</f>
        <v/>
      </c>
      <c r="H4" t="str">
        <f>_xll.RssFOPMarket($E4,H$1)</f>
        <v/>
      </c>
      <c r="I4" t="str">
        <f>_xll.RssFOPMarket($E4,I$1)</f>
        <v/>
      </c>
      <c r="J4" t="str">
        <f>_xll.RssFOPMarket($E4,J$1)</f>
        <v/>
      </c>
      <c r="K4" t="str">
        <f>_xll.RssFOPMarket($E4,K$1)</f>
        <v/>
      </c>
      <c r="L4" t="str">
        <f>_xll.RssFOPMarket($E4,L$1)</f>
        <v/>
      </c>
      <c r="M4" t="str">
        <f>_xll.RssFOPMarket($E4,M$1)</f>
        <v/>
      </c>
      <c r="N4" t="str">
        <f>_xll.RssFOPMarket($E4,N$1)</f>
        <v/>
      </c>
      <c r="O4" t="str">
        <f>_xll.RssFOPMarket($E4,O$1)</f>
        <v/>
      </c>
      <c r="P4" t="str">
        <f>_xll.RssFOPMarket($E4,P$1)</f>
        <v/>
      </c>
      <c r="Q4" t="str">
        <f>_xll.RssFOPMarket($E4,Q$1)</f>
        <v/>
      </c>
    </row>
    <row r="5" spans="1:17" x14ac:dyDescent="0.4">
      <c r="A5" t="str">
        <f t="shared" si="0"/>
        <v>N225MOP</v>
      </c>
      <c r="B5">
        <f t="shared" si="0"/>
        <v>202310</v>
      </c>
      <c r="C5" t="str">
        <f t="shared" si="0"/>
        <v>P</v>
      </c>
      <c r="D5">
        <f t="shared" si="1"/>
        <v>36125</v>
      </c>
      <c r="E5" t="str">
        <f>_xll.RssFOPCode(A5,B5,IF(C5="C",1,IF(C5="P",2,"")),D5)</f>
        <v>マーケットスピード II にログインして「接続中」の状態に変更してから利用してください。</v>
      </c>
      <c r="F5" t="str">
        <f>_xll.RssFOPMarket($E5,F$1)</f>
        <v/>
      </c>
      <c r="G5" t="str">
        <f>_xll.RssFOPMarket($E5,G$1)</f>
        <v/>
      </c>
      <c r="H5" t="str">
        <f>_xll.RssFOPMarket($E5,H$1)</f>
        <v/>
      </c>
      <c r="I5" t="str">
        <f>_xll.RssFOPMarket($E5,I$1)</f>
        <v/>
      </c>
      <c r="J5" t="str">
        <f>_xll.RssFOPMarket($E5,J$1)</f>
        <v/>
      </c>
      <c r="K5" t="str">
        <f>_xll.RssFOPMarket($E5,K$1)</f>
        <v/>
      </c>
      <c r="L5" t="str">
        <f>_xll.RssFOPMarket($E5,L$1)</f>
        <v/>
      </c>
      <c r="M5" t="str">
        <f>_xll.RssFOPMarket($E5,M$1)</f>
        <v/>
      </c>
      <c r="N5" t="str">
        <f>_xll.RssFOPMarket($E5,N$1)</f>
        <v/>
      </c>
      <c r="O5" t="str">
        <f>_xll.RssFOPMarket($E5,O$1)</f>
        <v/>
      </c>
      <c r="P5" t="str">
        <f>_xll.RssFOPMarket($E5,P$1)</f>
        <v/>
      </c>
      <c r="Q5" t="str">
        <f>_xll.RssFOPMarket($E5,Q$1)</f>
        <v/>
      </c>
    </row>
    <row r="6" spans="1:17" x14ac:dyDescent="0.4">
      <c r="A6" t="str">
        <f t="shared" si="0"/>
        <v>N225MOP</v>
      </c>
      <c r="B6">
        <f t="shared" si="0"/>
        <v>202310</v>
      </c>
      <c r="C6" t="str">
        <f t="shared" si="0"/>
        <v>P</v>
      </c>
      <c r="D6">
        <f t="shared" si="1"/>
        <v>36000</v>
      </c>
      <c r="E6" t="str">
        <f>_xll.RssFOPCode(A6,B6,IF(C6="C",1,IF(C6="P",2,"")),D6)</f>
        <v>マーケットスピード II にログインして「接続中」の状態に変更してから利用してください。</v>
      </c>
      <c r="F6" t="str">
        <f>_xll.RssFOPMarket($E6,F$1)</f>
        <v/>
      </c>
      <c r="G6" t="str">
        <f>_xll.RssFOPMarket($E6,G$1)</f>
        <v/>
      </c>
      <c r="H6" t="str">
        <f>_xll.RssFOPMarket($E6,H$1)</f>
        <v/>
      </c>
      <c r="I6" t="str">
        <f>_xll.RssFOPMarket($E6,I$1)</f>
        <v/>
      </c>
      <c r="J6" t="str">
        <f>_xll.RssFOPMarket($E6,J$1)</f>
        <v/>
      </c>
      <c r="K6" t="str">
        <f>_xll.RssFOPMarket($E6,K$1)</f>
        <v/>
      </c>
      <c r="L6" t="str">
        <f>_xll.RssFOPMarket($E6,L$1)</f>
        <v/>
      </c>
      <c r="M6" t="str">
        <f>_xll.RssFOPMarket($E6,M$1)</f>
        <v/>
      </c>
      <c r="N6" t="str">
        <f>_xll.RssFOPMarket($E6,N$1)</f>
        <v/>
      </c>
      <c r="O6" t="str">
        <f>_xll.RssFOPMarket($E6,O$1)</f>
        <v/>
      </c>
      <c r="P6" t="str">
        <f>_xll.RssFOPMarket($E6,P$1)</f>
        <v/>
      </c>
      <c r="Q6" t="str">
        <f>_xll.RssFOPMarket($E6,Q$1)</f>
        <v/>
      </c>
    </row>
    <row r="7" spans="1:17" x14ac:dyDescent="0.4">
      <c r="A7" t="str">
        <f t="shared" si="0"/>
        <v>N225MOP</v>
      </c>
      <c r="B7">
        <f t="shared" si="0"/>
        <v>202310</v>
      </c>
      <c r="C7" t="str">
        <f t="shared" si="0"/>
        <v>P</v>
      </c>
      <c r="D7">
        <f t="shared" si="1"/>
        <v>35875</v>
      </c>
      <c r="E7" t="str">
        <f>_xll.RssFOPCode(A7,B7,IF(C7="C",1,IF(C7="P",2,"")),D7)</f>
        <v>マーケットスピード II にログインして「接続中」の状態に変更してから利用してください。</v>
      </c>
      <c r="F7" t="str">
        <f>_xll.RssFOPMarket($E7,F$1)</f>
        <v/>
      </c>
      <c r="G7" t="str">
        <f>_xll.RssFOPMarket($E7,G$1)</f>
        <v/>
      </c>
      <c r="H7" t="str">
        <f>_xll.RssFOPMarket($E7,H$1)</f>
        <v/>
      </c>
      <c r="I7" t="str">
        <f>_xll.RssFOPMarket($E7,I$1)</f>
        <v/>
      </c>
      <c r="J7" t="str">
        <f>_xll.RssFOPMarket($E7,J$1)</f>
        <v/>
      </c>
      <c r="K7" t="str">
        <f>_xll.RssFOPMarket($E7,K$1)</f>
        <v/>
      </c>
      <c r="L7" t="str">
        <f>_xll.RssFOPMarket($E7,L$1)</f>
        <v/>
      </c>
      <c r="M7" t="str">
        <f>_xll.RssFOPMarket($E7,M$1)</f>
        <v/>
      </c>
      <c r="N7" t="str">
        <f>_xll.RssFOPMarket($E7,N$1)</f>
        <v/>
      </c>
      <c r="O7" t="str">
        <f>_xll.RssFOPMarket($E7,O$1)</f>
        <v/>
      </c>
      <c r="P7" t="str">
        <f>_xll.RssFOPMarket($E7,P$1)</f>
        <v/>
      </c>
      <c r="Q7" t="str">
        <f>_xll.RssFOPMarket($E7,Q$1)</f>
        <v/>
      </c>
    </row>
    <row r="8" spans="1:17" x14ac:dyDescent="0.4">
      <c r="A8" t="str">
        <f t="shared" si="0"/>
        <v>N225MOP</v>
      </c>
      <c r="B8">
        <f t="shared" si="0"/>
        <v>202310</v>
      </c>
      <c r="C8" t="str">
        <f t="shared" si="0"/>
        <v>P</v>
      </c>
      <c r="D8">
        <f t="shared" si="1"/>
        <v>35750</v>
      </c>
      <c r="E8" t="str">
        <f>_xll.RssFOPCode(A8,B8,IF(C8="C",1,IF(C8="P",2,"")),D8)</f>
        <v>マーケットスピード II にログインして「接続中」の状態に変更してから利用してください。</v>
      </c>
      <c r="F8" t="str">
        <f>_xll.RssFOPMarket($E8,F$1)</f>
        <v/>
      </c>
      <c r="G8" t="str">
        <f>_xll.RssFOPMarket($E8,G$1)</f>
        <v/>
      </c>
      <c r="H8" t="str">
        <f>_xll.RssFOPMarket($E8,H$1)</f>
        <v/>
      </c>
      <c r="I8" t="str">
        <f>_xll.RssFOPMarket($E8,I$1)</f>
        <v/>
      </c>
      <c r="J8" t="str">
        <f>_xll.RssFOPMarket($E8,J$1)</f>
        <v/>
      </c>
      <c r="K8" t="str">
        <f>_xll.RssFOPMarket($E8,K$1)</f>
        <v/>
      </c>
      <c r="L8" t="str">
        <f>_xll.RssFOPMarket($E8,L$1)</f>
        <v/>
      </c>
      <c r="M8" t="str">
        <f>_xll.RssFOPMarket($E8,M$1)</f>
        <v/>
      </c>
      <c r="N8" t="str">
        <f>_xll.RssFOPMarket($E8,N$1)</f>
        <v/>
      </c>
      <c r="O8" t="str">
        <f>_xll.RssFOPMarket($E8,O$1)</f>
        <v/>
      </c>
      <c r="P8" t="str">
        <f>_xll.RssFOPMarket($E8,P$1)</f>
        <v/>
      </c>
      <c r="Q8" t="str">
        <f>_xll.RssFOPMarket($E8,Q$1)</f>
        <v/>
      </c>
    </row>
    <row r="9" spans="1:17" x14ac:dyDescent="0.4">
      <c r="A9" t="str">
        <f t="shared" si="0"/>
        <v>N225MOP</v>
      </c>
      <c r="B9">
        <f t="shared" si="0"/>
        <v>202310</v>
      </c>
      <c r="C9" t="str">
        <f t="shared" si="0"/>
        <v>P</v>
      </c>
      <c r="D9">
        <f t="shared" si="1"/>
        <v>35625</v>
      </c>
      <c r="E9" t="str">
        <f>_xll.RssFOPCode(A9,B9,IF(C9="C",1,IF(C9="P",2,"")),D9)</f>
        <v>マーケットスピード II にログインして「接続中」の状態に変更してから利用してください。</v>
      </c>
      <c r="F9" t="str">
        <f>_xll.RssFOPMarket($E9,F$1)</f>
        <v/>
      </c>
      <c r="G9" t="str">
        <f>_xll.RssFOPMarket($E9,G$1)</f>
        <v/>
      </c>
      <c r="H9" t="str">
        <f>_xll.RssFOPMarket($E9,H$1)</f>
        <v/>
      </c>
      <c r="I9" t="str">
        <f>_xll.RssFOPMarket($E9,I$1)</f>
        <v/>
      </c>
      <c r="J9" t="str">
        <f>_xll.RssFOPMarket($E9,J$1)</f>
        <v/>
      </c>
      <c r="K9" t="str">
        <f>_xll.RssFOPMarket($E9,K$1)</f>
        <v/>
      </c>
      <c r="L9" t="str">
        <f>_xll.RssFOPMarket($E9,L$1)</f>
        <v/>
      </c>
      <c r="M9" t="str">
        <f>_xll.RssFOPMarket($E9,M$1)</f>
        <v/>
      </c>
      <c r="N9" t="str">
        <f>_xll.RssFOPMarket($E9,N$1)</f>
        <v/>
      </c>
      <c r="O9" t="str">
        <f>_xll.RssFOPMarket($E9,O$1)</f>
        <v/>
      </c>
      <c r="P9" t="str">
        <f>_xll.RssFOPMarket($E9,P$1)</f>
        <v/>
      </c>
      <c r="Q9" t="str">
        <f>_xll.RssFOPMarket($E9,Q$1)</f>
        <v/>
      </c>
    </row>
    <row r="10" spans="1:17" x14ac:dyDescent="0.4">
      <c r="A10" t="str">
        <f t="shared" si="0"/>
        <v>N225MOP</v>
      </c>
      <c r="B10">
        <f t="shared" si="0"/>
        <v>202310</v>
      </c>
      <c r="C10" t="str">
        <f t="shared" si="0"/>
        <v>P</v>
      </c>
      <c r="D10">
        <f t="shared" si="1"/>
        <v>35500</v>
      </c>
      <c r="E10" t="str">
        <f>_xll.RssFOPCode(A10,B10,IF(C10="C",1,IF(C10="P",2,"")),D10)</f>
        <v>マーケットスピード II にログインして「接続中」の状態に変更してから利用してください。</v>
      </c>
      <c r="F10" t="str">
        <f>_xll.RssFOPMarket($E10,F$1)</f>
        <v/>
      </c>
      <c r="G10" t="str">
        <f>_xll.RssFOPMarket($E10,G$1)</f>
        <v/>
      </c>
      <c r="H10" t="str">
        <f>_xll.RssFOPMarket($E10,H$1)</f>
        <v/>
      </c>
      <c r="I10" t="str">
        <f>_xll.RssFOPMarket($E10,I$1)</f>
        <v/>
      </c>
      <c r="J10" t="str">
        <f>_xll.RssFOPMarket($E10,J$1)</f>
        <v/>
      </c>
      <c r="K10" t="str">
        <f>_xll.RssFOPMarket($E10,K$1)</f>
        <v/>
      </c>
      <c r="L10" t="str">
        <f>_xll.RssFOPMarket($E10,L$1)</f>
        <v/>
      </c>
      <c r="M10" t="str">
        <f>_xll.RssFOPMarket($E10,M$1)</f>
        <v/>
      </c>
      <c r="N10" t="str">
        <f>_xll.RssFOPMarket($E10,N$1)</f>
        <v/>
      </c>
      <c r="O10" t="str">
        <f>_xll.RssFOPMarket($E10,O$1)</f>
        <v/>
      </c>
      <c r="P10" t="str">
        <f>_xll.RssFOPMarket($E10,P$1)</f>
        <v/>
      </c>
      <c r="Q10" t="str">
        <f>_xll.RssFOPMarket($E10,Q$1)</f>
        <v/>
      </c>
    </row>
    <row r="11" spans="1:17" x14ac:dyDescent="0.4">
      <c r="A11" t="str">
        <f t="shared" si="0"/>
        <v>N225MOP</v>
      </c>
      <c r="B11">
        <f t="shared" si="0"/>
        <v>202310</v>
      </c>
      <c r="C11" t="str">
        <f t="shared" si="0"/>
        <v>P</v>
      </c>
      <c r="D11">
        <f t="shared" si="1"/>
        <v>35375</v>
      </c>
      <c r="E11" t="str">
        <f>_xll.RssFOPCode(A11,B11,IF(C11="C",1,IF(C11="P",2,"")),D11)</f>
        <v>マーケットスピード II にログインして「接続中」の状態に変更してから利用してください。</v>
      </c>
      <c r="F11" t="str">
        <f>_xll.RssFOPMarket($E11,F$1)</f>
        <v/>
      </c>
      <c r="G11" t="str">
        <f>_xll.RssFOPMarket($E11,G$1)</f>
        <v/>
      </c>
      <c r="H11" t="str">
        <f>_xll.RssFOPMarket($E11,H$1)</f>
        <v/>
      </c>
      <c r="I11" t="str">
        <f>_xll.RssFOPMarket($E11,I$1)</f>
        <v/>
      </c>
      <c r="J11" t="str">
        <f>_xll.RssFOPMarket($E11,J$1)</f>
        <v/>
      </c>
      <c r="K11" t="str">
        <f>_xll.RssFOPMarket($E11,K$1)</f>
        <v/>
      </c>
      <c r="L11" t="str">
        <f>_xll.RssFOPMarket($E11,L$1)</f>
        <v/>
      </c>
      <c r="M11" t="str">
        <f>_xll.RssFOPMarket($E11,M$1)</f>
        <v/>
      </c>
      <c r="N11" t="str">
        <f>_xll.RssFOPMarket($E11,N$1)</f>
        <v/>
      </c>
      <c r="O11" t="str">
        <f>_xll.RssFOPMarket($E11,O$1)</f>
        <v/>
      </c>
      <c r="P11" t="str">
        <f>_xll.RssFOPMarket($E11,P$1)</f>
        <v/>
      </c>
      <c r="Q11" t="str">
        <f>_xll.RssFOPMarket($E11,Q$1)</f>
        <v/>
      </c>
    </row>
    <row r="12" spans="1:17" x14ac:dyDescent="0.4">
      <c r="A12" t="str">
        <f t="shared" si="0"/>
        <v>N225MOP</v>
      </c>
      <c r="B12">
        <f t="shared" si="0"/>
        <v>202310</v>
      </c>
      <c r="C12" t="str">
        <f t="shared" si="0"/>
        <v>P</v>
      </c>
      <c r="D12">
        <f t="shared" si="1"/>
        <v>35250</v>
      </c>
      <c r="E12" t="str">
        <f>_xll.RssFOPCode(A12,B12,IF(C12="C",1,IF(C12="P",2,"")),D12)</f>
        <v>マーケットスピード II にログインして「接続中」の状態に変更してから利用してください。</v>
      </c>
      <c r="F12" t="str">
        <f>_xll.RssFOPMarket($E12,F$1)</f>
        <v/>
      </c>
      <c r="G12" t="str">
        <f>_xll.RssFOPMarket($E12,G$1)</f>
        <v/>
      </c>
      <c r="H12" t="str">
        <f>_xll.RssFOPMarket($E12,H$1)</f>
        <v/>
      </c>
      <c r="I12" t="str">
        <f>_xll.RssFOPMarket($E12,I$1)</f>
        <v/>
      </c>
      <c r="J12" t="str">
        <f>_xll.RssFOPMarket($E12,J$1)</f>
        <v/>
      </c>
      <c r="K12" t="str">
        <f>_xll.RssFOPMarket($E12,K$1)</f>
        <v/>
      </c>
      <c r="L12" t="str">
        <f>_xll.RssFOPMarket($E12,L$1)</f>
        <v/>
      </c>
      <c r="M12" t="str">
        <f>_xll.RssFOPMarket($E12,M$1)</f>
        <v/>
      </c>
      <c r="N12" t="str">
        <f>_xll.RssFOPMarket($E12,N$1)</f>
        <v/>
      </c>
      <c r="O12" t="str">
        <f>_xll.RssFOPMarket($E12,O$1)</f>
        <v/>
      </c>
      <c r="P12" t="str">
        <f>_xll.RssFOPMarket($E12,P$1)</f>
        <v/>
      </c>
      <c r="Q12" t="str">
        <f>_xll.RssFOPMarket($E12,Q$1)</f>
        <v/>
      </c>
    </row>
    <row r="13" spans="1:17" x14ac:dyDescent="0.4">
      <c r="A13" t="str">
        <f t="shared" si="0"/>
        <v>N225MOP</v>
      </c>
      <c r="B13">
        <f t="shared" si="0"/>
        <v>202310</v>
      </c>
      <c r="C13" t="str">
        <f t="shared" si="0"/>
        <v>P</v>
      </c>
      <c r="D13">
        <f t="shared" si="1"/>
        <v>35125</v>
      </c>
      <c r="E13" t="str">
        <f>_xll.RssFOPCode(A13,B13,IF(C13="C",1,IF(C13="P",2,"")),D13)</f>
        <v>マーケットスピード II にログインして「接続中」の状態に変更してから利用してください。</v>
      </c>
      <c r="F13" t="str">
        <f>_xll.RssFOPMarket($E13,F$1)</f>
        <v/>
      </c>
      <c r="G13" t="str">
        <f>_xll.RssFOPMarket($E13,G$1)</f>
        <v/>
      </c>
      <c r="H13" t="str">
        <f>_xll.RssFOPMarket($E13,H$1)</f>
        <v/>
      </c>
      <c r="I13" t="str">
        <f>_xll.RssFOPMarket($E13,I$1)</f>
        <v/>
      </c>
      <c r="J13" t="str">
        <f>_xll.RssFOPMarket($E13,J$1)</f>
        <v/>
      </c>
      <c r="K13" t="str">
        <f>_xll.RssFOPMarket($E13,K$1)</f>
        <v/>
      </c>
      <c r="L13" t="str">
        <f>_xll.RssFOPMarket($E13,L$1)</f>
        <v/>
      </c>
      <c r="M13" t="str">
        <f>_xll.RssFOPMarket($E13,M$1)</f>
        <v/>
      </c>
      <c r="N13" t="str">
        <f>_xll.RssFOPMarket($E13,N$1)</f>
        <v/>
      </c>
      <c r="O13" t="str">
        <f>_xll.RssFOPMarket($E13,O$1)</f>
        <v/>
      </c>
      <c r="P13" t="str">
        <f>_xll.RssFOPMarket($E13,P$1)</f>
        <v/>
      </c>
      <c r="Q13" t="str">
        <f>_xll.RssFOPMarket($E13,Q$1)</f>
        <v/>
      </c>
    </row>
    <row r="14" spans="1:17" x14ac:dyDescent="0.4">
      <c r="A14" t="str">
        <f t="shared" si="0"/>
        <v>N225MOP</v>
      </c>
      <c r="B14">
        <f t="shared" si="0"/>
        <v>202310</v>
      </c>
      <c r="C14" t="str">
        <f t="shared" si="0"/>
        <v>P</v>
      </c>
      <c r="D14">
        <f t="shared" si="1"/>
        <v>35000</v>
      </c>
      <c r="E14" t="str">
        <f>_xll.RssFOPCode(A14,B14,IF(C14="C",1,IF(C14="P",2,"")),D14)</f>
        <v>マーケットスピード II にログインして「接続中」の状態に変更してから利用してください。</v>
      </c>
      <c r="F14" t="str">
        <f>_xll.RssFOPMarket($E14,F$1)</f>
        <v/>
      </c>
      <c r="G14" t="str">
        <f>_xll.RssFOPMarket($E14,G$1)</f>
        <v/>
      </c>
      <c r="H14" t="str">
        <f>_xll.RssFOPMarket($E14,H$1)</f>
        <v/>
      </c>
      <c r="I14" t="str">
        <f>_xll.RssFOPMarket($E14,I$1)</f>
        <v/>
      </c>
      <c r="J14" t="str">
        <f>_xll.RssFOPMarket($E14,J$1)</f>
        <v/>
      </c>
      <c r="K14" t="str">
        <f>_xll.RssFOPMarket($E14,K$1)</f>
        <v/>
      </c>
      <c r="L14" t="str">
        <f>_xll.RssFOPMarket($E14,L$1)</f>
        <v/>
      </c>
      <c r="M14" t="str">
        <f>_xll.RssFOPMarket($E14,M$1)</f>
        <v/>
      </c>
      <c r="N14" t="str">
        <f>_xll.RssFOPMarket($E14,N$1)</f>
        <v/>
      </c>
      <c r="O14" t="str">
        <f>_xll.RssFOPMarket($E14,O$1)</f>
        <v/>
      </c>
      <c r="P14" t="str">
        <f>_xll.RssFOPMarket($E14,P$1)</f>
        <v/>
      </c>
      <c r="Q14" t="str">
        <f>_xll.RssFOPMarket($E14,Q$1)</f>
        <v/>
      </c>
    </row>
    <row r="15" spans="1:17" x14ac:dyDescent="0.4">
      <c r="A15" t="str">
        <f t="shared" si="0"/>
        <v>N225MOP</v>
      </c>
      <c r="B15">
        <f t="shared" si="0"/>
        <v>202310</v>
      </c>
      <c r="C15" t="str">
        <f t="shared" si="0"/>
        <v>P</v>
      </c>
      <c r="D15">
        <f t="shared" si="1"/>
        <v>34875</v>
      </c>
      <c r="E15" t="str">
        <f>_xll.RssFOPCode(A15,B15,IF(C15="C",1,IF(C15="P",2,"")),D15)</f>
        <v>マーケットスピード II にログインして「接続中」の状態に変更してから利用してください。</v>
      </c>
      <c r="F15" t="str">
        <f>_xll.RssFOPMarket($E15,F$1)</f>
        <v/>
      </c>
      <c r="G15" t="str">
        <f>_xll.RssFOPMarket($E15,G$1)</f>
        <v/>
      </c>
      <c r="H15" t="str">
        <f>_xll.RssFOPMarket($E15,H$1)</f>
        <v/>
      </c>
      <c r="I15" t="str">
        <f>_xll.RssFOPMarket($E15,I$1)</f>
        <v/>
      </c>
      <c r="J15" t="str">
        <f>_xll.RssFOPMarket($E15,J$1)</f>
        <v/>
      </c>
      <c r="K15" t="str">
        <f>_xll.RssFOPMarket($E15,K$1)</f>
        <v/>
      </c>
      <c r="L15" t="str">
        <f>_xll.RssFOPMarket($E15,L$1)</f>
        <v/>
      </c>
      <c r="M15" t="str">
        <f>_xll.RssFOPMarket($E15,M$1)</f>
        <v/>
      </c>
      <c r="N15" t="str">
        <f>_xll.RssFOPMarket($E15,N$1)</f>
        <v/>
      </c>
      <c r="O15" t="str">
        <f>_xll.RssFOPMarket($E15,O$1)</f>
        <v/>
      </c>
      <c r="P15" t="str">
        <f>_xll.RssFOPMarket($E15,P$1)</f>
        <v/>
      </c>
      <c r="Q15" t="str">
        <f>_xll.RssFOPMarket($E15,Q$1)</f>
        <v/>
      </c>
    </row>
    <row r="16" spans="1:17" x14ac:dyDescent="0.4">
      <c r="A16" t="str">
        <f t="shared" si="0"/>
        <v>N225MOP</v>
      </c>
      <c r="B16">
        <f t="shared" si="0"/>
        <v>202310</v>
      </c>
      <c r="C16" t="str">
        <f t="shared" si="0"/>
        <v>P</v>
      </c>
      <c r="D16">
        <f t="shared" si="1"/>
        <v>34750</v>
      </c>
      <c r="E16" t="str">
        <f>_xll.RssFOPCode(A16,B16,IF(C16="C",1,IF(C16="P",2,"")),D16)</f>
        <v>マーケットスピード II にログインして「接続中」の状態に変更してから利用してください。</v>
      </c>
      <c r="F16" t="str">
        <f>_xll.RssFOPMarket($E16,F$1)</f>
        <v/>
      </c>
      <c r="G16" t="str">
        <f>_xll.RssFOPMarket($E16,G$1)</f>
        <v/>
      </c>
      <c r="H16" t="str">
        <f>_xll.RssFOPMarket($E16,H$1)</f>
        <v/>
      </c>
      <c r="I16" t="str">
        <f>_xll.RssFOPMarket($E16,I$1)</f>
        <v/>
      </c>
      <c r="J16" t="str">
        <f>_xll.RssFOPMarket($E16,J$1)</f>
        <v/>
      </c>
      <c r="K16" t="str">
        <f>_xll.RssFOPMarket($E16,K$1)</f>
        <v/>
      </c>
      <c r="L16" t="str">
        <f>_xll.RssFOPMarket($E16,L$1)</f>
        <v/>
      </c>
      <c r="M16" t="str">
        <f>_xll.RssFOPMarket($E16,M$1)</f>
        <v/>
      </c>
      <c r="N16" t="str">
        <f>_xll.RssFOPMarket($E16,N$1)</f>
        <v/>
      </c>
      <c r="O16" t="str">
        <f>_xll.RssFOPMarket($E16,O$1)</f>
        <v/>
      </c>
      <c r="P16" t="str">
        <f>_xll.RssFOPMarket($E16,P$1)</f>
        <v/>
      </c>
      <c r="Q16" t="str">
        <f>_xll.RssFOPMarket($E16,Q$1)</f>
        <v/>
      </c>
    </row>
    <row r="17" spans="1:17" x14ac:dyDescent="0.4">
      <c r="A17" t="str">
        <f t="shared" si="0"/>
        <v>N225MOP</v>
      </c>
      <c r="B17">
        <f t="shared" si="0"/>
        <v>202310</v>
      </c>
      <c r="C17" t="str">
        <f t="shared" si="0"/>
        <v>P</v>
      </c>
      <c r="D17">
        <f t="shared" si="1"/>
        <v>34625</v>
      </c>
      <c r="E17" t="str">
        <f>_xll.RssFOPCode(A17,B17,IF(C17="C",1,IF(C17="P",2,"")),D17)</f>
        <v>マーケットスピード II にログインして「接続中」の状態に変更してから利用してください。</v>
      </c>
      <c r="F17" t="str">
        <f>_xll.RssFOPMarket($E17,F$1)</f>
        <v/>
      </c>
      <c r="G17" t="str">
        <f>_xll.RssFOPMarket($E17,G$1)</f>
        <v/>
      </c>
      <c r="H17" t="str">
        <f>_xll.RssFOPMarket($E17,H$1)</f>
        <v/>
      </c>
      <c r="I17" t="str">
        <f>_xll.RssFOPMarket($E17,I$1)</f>
        <v/>
      </c>
      <c r="J17" t="str">
        <f>_xll.RssFOPMarket($E17,J$1)</f>
        <v/>
      </c>
      <c r="K17" t="str">
        <f>_xll.RssFOPMarket($E17,K$1)</f>
        <v/>
      </c>
      <c r="L17" t="str">
        <f>_xll.RssFOPMarket($E17,L$1)</f>
        <v/>
      </c>
      <c r="M17" t="str">
        <f>_xll.RssFOPMarket($E17,M$1)</f>
        <v/>
      </c>
      <c r="N17" t="str">
        <f>_xll.RssFOPMarket($E17,N$1)</f>
        <v/>
      </c>
      <c r="O17" t="str">
        <f>_xll.RssFOPMarket($E17,O$1)</f>
        <v/>
      </c>
      <c r="P17" t="str">
        <f>_xll.RssFOPMarket($E17,P$1)</f>
        <v/>
      </c>
      <c r="Q17" t="str">
        <f>_xll.RssFOPMarket($E17,Q$1)</f>
        <v/>
      </c>
    </row>
    <row r="18" spans="1:17" x14ac:dyDescent="0.4">
      <c r="A18" t="str">
        <f t="shared" si="0"/>
        <v>N225MOP</v>
      </c>
      <c r="B18">
        <f t="shared" si="0"/>
        <v>202310</v>
      </c>
      <c r="C18" t="str">
        <f t="shared" si="0"/>
        <v>P</v>
      </c>
      <c r="D18">
        <f t="shared" si="1"/>
        <v>34500</v>
      </c>
      <c r="E18" t="str">
        <f>_xll.RssFOPCode(A18,B18,IF(C18="C",1,IF(C18="P",2,"")),D18)</f>
        <v>マーケットスピード II にログインして「接続中」の状態に変更してから利用してください。</v>
      </c>
      <c r="F18" t="str">
        <f>_xll.RssFOPMarket($E18,F$1)</f>
        <v/>
      </c>
      <c r="G18" t="str">
        <f>_xll.RssFOPMarket($E18,G$1)</f>
        <v/>
      </c>
      <c r="H18" t="str">
        <f>_xll.RssFOPMarket($E18,H$1)</f>
        <v/>
      </c>
      <c r="I18" t="str">
        <f>_xll.RssFOPMarket($E18,I$1)</f>
        <v/>
      </c>
      <c r="J18" t="str">
        <f>_xll.RssFOPMarket($E18,J$1)</f>
        <v/>
      </c>
      <c r="K18" t="str">
        <f>_xll.RssFOPMarket($E18,K$1)</f>
        <v/>
      </c>
      <c r="L18" t="str">
        <f>_xll.RssFOPMarket($E18,L$1)</f>
        <v/>
      </c>
      <c r="M18" t="str">
        <f>_xll.RssFOPMarket($E18,M$1)</f>
        <v/>
      </c>
      <c r="N18" t="str">
        <f>_xll.RssFOPMarket($E18,N$1)</f>
        <v/>
      </c>
      <c r="O18" t="str">
        <f>_xll.RssFOPMarket($E18,O$1)</f>
        <v/>
      </c>
      <c r="P18" t="str">
        <f>_xll.RssFOPMarket($E18,P$1)</f>
        <v/>
      </c>
      <c r="Q18" t="str">
        <f>_xll.RssFOPMarket($E18,Q$1)</f>
        <v/>
      </c>
    </row>
    <row r="19" spans="1:17" x14ac:dyDescent="0.4">
      <c r="A19" t="str">
        <f t="shared" si="0"/>
        <v>N225MOP</v>
      </c>
      <c r="B19">
        <f t="shared" si="0"/>
        <v>202310</v>
      </c>
      <c r="C19" t="str">
        <f t="shared" si="0"/>
        <v>P</v>
      </c>
      <c r="D19">
        <f t="shared" si="1"/>
        <v>34375</v>
      </c>
      <c r="E19" t="str">
        <f>_xll.RssFOPCode(A19,B19,IF(C19="C",1,IF(C19="P",2,"")),D19)</f>
        <v>マーケットスピード II にログインして「接続中」の状態に変更してから利用してください。</v>
      </c>
      <c r="F19" t="str">
        <f>_xll.RssFOPMarket($E19,F$1)</f>
        <v/>
      </c>
      <c r="G19" t="str">
        <f>_xll.RssFOPMarket($E19,G$1)</f>
        <v/>
      </c>
      <c r="H19" t="str">
        <f>_xll.RssFOPMarket($E19,H$1)</f>
        <v/>
      </c>
      <c r="I19" t="str">
        <f>_xll.RssFOPMarket($E19,I$1)</f>
        <v/>
      </c>
      <c r="J19" t="str">
        <f>_xll.RssFOPMarket($E19,J$1)</f>
        <v/>
      </c>
      <c r="K19" t="str">
        <f>_xll.RssFOPMarket($E19,K$1)</f>
        <v/>
      </c>
      <c r="L19" t="str">
        <f>_xll.RssFOPMarket($E19,L$1)</f>
        <v/>
      </c>
      <c r="M19" t="str">
        <f>_xll.RssFOPMarket($E19,M$1)</f>
        <v/>
      </c>
      <c r="N19" t="str">
        <f>_xll.RssFOPMarket($E19,N$1)</f>
        <v/>
      </c>
      <c r="O19" t="str">
        <f>_xll.RssFOPMarket($E19,O$1)</f>
        <v/>
      </c>
      <c r="P19" t="str">
        <f>_xll.RssFOPMarket($E19,P$1)</f>
        <v/>
      </c>
      <c r="Q19" t="str">
        <f>_xll.RssFOPMarket($E19,Q$1)</f>
        <v/>
      </c>
    </row>
    <row r="20" spans="1:17" x14ac:dyDescent="0.4">
      <c r="A20" t="str">
        <f t="shared" si="0"/>
        <v>N225MOP</v>
      </c>
      <c r="B20">
        <f t="shared" si="0"/>
        <v>202310</v>
      </c>
      <c r="C20" t="str">
        <f t="shared" si="0"/>
        <v>P</v>
      </c>
      <c r="D20">
        <f t="shared" si="1"/>
        <v>34250</v>
      </c>
      <c r="E20" t="str">
        <f>_xll.RssFOPCode(A20,B20,IF(C20="C",1,IF(C20="P",2,"")),D20)</f>
        <v>マーケットスピード II にログインして「接続中」の状態に変更してから利用してください。</v>
      </c>
      <c r="F20" t="str">
        <f>_xll.RssFOPMarket($E20,F$1)</f>
        <v/>
      </c>
      <c r="G20" t="str">
        <f>_xll.RssFOPMarket($E20,G$1)</f>
        <v/>
      </c>
      <c r="H20" t="str">
        <f>_xll.RssFOPMarket($E20,H$1)</f>
        <v/>
      </c>
      <c r="I20" t="str">
        <f>_xll.RssFOPMarket($E20,I$1)</f>
        <v/>
      </c>
      <c r="J20" t="str">
        <f>_xll.RssFOPMarket($E20,J$1)</f>
        <v/>
      </c>
      <c r="K20" t="str">
        <f>_xll.RssFOPMarket($E20,K$1)</f>
        <v/>
      </c>
      <c r="L20" t="str">
        <f>_xll.RssFOPMarket($E20,L$1)</f>
        <v/>
      </c>
      <c r="M20" t="str">
        <f>_xll.RssFOPMarket($E20,M$1)</f>
        <v/>
      </c>
      <c r="N20" t="str">
        <f>_xll.RssFOPMarket($E20,N$1)</f>
        <v/>
      </c>
      <c r="O20" t="str">
        <f>_xll.RssFOPMarket($E20,O$1)</f>
        <v/>
      </c>
      <c r="P20" t="str">
        <f>_xll.RssFOPMarket($E20,P$1)</f>
        <v/>
      </c>
      <c r="Q20" t="str">
        <f>_xll.RssFOPMarket($E20,Q$1)</f>
        <v/>
      </c>
    </row>
    <row r="21" spans="1:17" x14ac:dyDescent="0.4">
      <c r="A21" t="str">
        <f t="shared" si="0"/>
        <v>N225MOP</v>
      </c>
      <c r="B21">
        <f t="shared" si="0"/>
        <v>202310</v>
      </c>
      <c r="C21" t="str">
        <f t="shared" si="0"/>
        <v>P</v>
      </c>
      <c r="D21">
        <f t="shared" si="1"/>
        <v>34125</v>
      </c>
      <c r="E21" t="str">
        <f>_xll.RssFOPCode(A21,B21,IF(C21="C",1,IF(C21="P",2,"")),D21)</f>
        <v>マーケットスピード II にログインして「接続中」の状態に変更してから利用してください。</v>
      </c>
      <c r="F21" t="str">
        <f>_xll.RssFOPMarket($E21,F$1)</f>
        <v/>
      </c>
      <c r="G21" t="str">
        <f>_xll.RssFOPMarket($E21,G$1)</f>
        <v/>
      </c>
      <c r="H21" t="str">
        <f>_xll.RssFOPMarket($E21,H$1)</f>
        <v/>
      </c>
      <c r="I21" t="str">
        <f>_xll.RssFOPMarket($E21,I$1)</f>
        <v/>
      </c>
      <c r="J21" t="str">
        <f>_xll.RssFOPMarket($E21,J$1)</f>
        <v/>
      </c>
      <c r="K21" t="str">
        <f>_xll.RssFOPMarket($E21,K$1)</f>
        <v/>
      </c>
      <c r="L21" t="str">
        <f>_xll.RssFOPMarket($E21,L$1)</f>
        <v/>
      </c>
      <c r="M21" t="str">
        <f>_xll.RssFOPMarket($E21,M$1)</f>
        <v/>
      </c>
      <c r="N21" t="str">
        <f>_xll.RssFOPMarket($E21,N$1)</f>
        <v/>
      </c>
      <c r="O21" t="str">
        <f>_xll.RssFOPMarket($E21,O$1)</f>
        <v/>
      </c>
      <c r="P21" t="str">
        <f>_xll.RssFOPMarket($E21,P$1)</f>
        <v/>
      </c>
      <c r="Q21" t="str">
        <f>_xll.RssFOPMarket($E21,Q$1)</f>
        <v/>
      </c>
    </row>
    <row r="22" spans="1:17" x14ac:dyDescent="0.4">
      <c r="A22" t="str">
        <f t="shared" si="0"/>
        <v>N225MOP</v>
      </c>
      <c r="B22">
        <f t="shared" si="0"/>
        <v>202310</v>
      </c>
      <c r="C22" t="str">
        <f t="shared" si="0"/>
        <v>P</v>
      </c>
      <c r="D22">
        <f t="shared" si="1"/>
        <v>34000</v>
      </c>
      <c r="E22" t="str">
        <f>_xll.RssFOPCode(A22,B22,IF(C22="C",1,IF(C22="P",2,"")),D22)</f>
        <v>マーケットスピード II にログインして「接続中」の状態に変更してから利用してください。</v>
      </c>
      <c r="F22" t="str">
        <f>_xll.RssFOPMarket($E22,F$1)</f>
        <v/>
      </c>
      <c r="G22" t="str">
        <f>_xll.RssFOPMarket($E22,G$1)</f>
        <v/>
      </c>
      <c r="H22" t="str">
        <f>_xll.RssFOPMarket($E22,H$1)</f>
        <v/>
      </c>
      <c r="I22" t="str">
        <f>_xll.RssFOPMarket($E22,I$1)</f>
        <v/>
      </c>
      <c r="J22" t="str">
        <f>_xll.RssFOPMarket($E22,J$1)</f>
        <v/>
      </c>
      <c r="K22" t="str">
        <f>_xll.RssFOPMarket($E22,K$1)</f>
        <v/>
      </c>
      <c r="L22" t="str">
        <f>_xll.RssFOPMarket($E22,L$1)</f>
        <v/>
      </c>
      <c r="M22" t="str">
        <f>_xll.RssFOPMarket($E22,M$1)</f>
        <v/>
      </c>
      <c r="N22" t="str">
        <f>_xll.RssFOPMarket($E22,N$1)</f>
        <v/>
      </c>
      <c r="O22" t="str">
        <f>_xll.RssFOPMarket($E22,O$1)</f>
        <v/>
      </c>
      <c r="P22" t="str">
        <f>_xll.RssFOPMarket($E22,P$1)</f>
        <v/>
      </c>
      <c r="Q22" t="str">
        <f>_xll.RssFOPMarket($E22,Q$1)</f>
        <v/>
      </c>
    </row>
    <row r="23" spans="1:17" x14ac:dyDescent="0.4">
      <c r="A23" t="str">
        <f t="shared" si="0"/>
        <v>N225MOP</v>
      </c>
      <c r="B23">
        <f t="shared" si="0"/>
        <v>202310</v>
      </c>
      <c r="C23" t="str">
        <f t="shared" si="0"/>
        <v>P</v>
      </c>
      <c r="D23">
        <f t="shared" si="1"/>
        <v>33875</v>
      </c>
      <c r="E23" t="str">
        <f>_xll.RssFOPCode(A23,B23,IF(C23="C",1,IF(C23="P",2,"")),D23)</f>
        <v>マーケットスピード II にログインして「接続中」の状態に変更してから利用してください。</v>
      </c>
      <c r="F23" t="str">
        <f>_xll.RssFOPMarket($E23,F$1)</f>
        <v/>
      </c>
      <c r="G23" t="str">
        <f>_xll.RssFOPMarket($E23,G$1)</f>
        <v/>
      </c>
      <c r="H23" t="str">
        <f>_xll.RssFOPMarket($E23,H$1)</f>
        <v/>
      </c>
      <c r="I23" t="str">
        <f>_xll.RssFOPMarket($E23,I$1)</f>
        <v/>
      </c>
      <c r="J23" t="str">
        <f>_xll.RssFOPMarket($E23,J$1)</f>
        <v/>
      </c>
      <c r="K23" t="str">
        <f>_xll.RssFOPMarket($E23,K$1)</f>
        <v/>
      </c>
      <c r="L23" t="str">
        <f>_xll.RssFOPMarket($E23,L$1)</f>
        <v/>
      </c>
      <c r="M23" t="str">
        <f>_xll.RssFOPMarket($E23,M$1)</f>
        <v/>
      </c>
      <c r="N23" t="str">
        <f>_xll.RssFOPMarket($E23,N$1)</f>
        <v/>
      </c>
      <c r="O23" t="str">
        <f>_xll.RssFOPMarket($E23,O$1)</f>
        <v/>
      </c>
      <c r="P23" t="str">
        <f>_xll.RssFOPMarket($E23,P$1)</f>
        <v/>
      </c>
      <c r="Q23" t="str">
        <f>_xll.RssFOPMarket($E23,Q$1)</f>
        <v/>
      </c>
    </row>
    <row r="24" spans="1:17" x14ac:dyDescent="0.4">
      <c r="A24" t="str">
        <f t="shared" si="0"/>
        <v>N225MOP</v>
      </c>
      <c r="B24">
        <f t="shared" si="0"/>
        <v>202310</v>
      </c>
      <c r="C24" t="str">
        <f t="shared" si="0"/>
        <v>P</v>
      </c>
      <c r="D24">
        <f t="shared" si="1"/>
        <v>33750</v>
      </c>
      <c r="E24" t="str">
        <f>_xll.RssFOPCode(A24,B24,IF(C24="C",1,IF(C24="P",2,"")),D24)</f>
        <v>マーケットスピード II にログインして「接続中」の状態に変更してから利用してください。</v>
      </c>
      <c r="F24" t="str">
        <f>_xll.RssFOPMarket($E24,F$1)</f>
        <v/>
      </c>
      <c r="G24" t="str">
        <f>_xll.RssFOPMarket($E24,G$1)</f>
        <v/>
      </c>
      <c r="H24" t="str">
        <f>_xll.RssFOPMarket($E24,H$1)</f>
        <v/>
      </c>
      <c r="I24" t="str">
        <f>_xll.RssFOPMarket($E24,I$1)</f>
        <v/>
      </c>
      <c r="J24" t="str">
        <f>_xll.RssFOPMarket($E24,J$1)</f>
        <v/>
      </c>
      <c r="K24" t="str">
        <f>_xll.RssFOPMarket($E24,K$1)</f>
        <v/>
      </c>
      <c r="L24" t="str">
        <f>_xll.RssFOPMarket($E24,L$1)</f>
        <v/>
      </c>
      <c r="M24" t="str">
        <f>_xll.RssFOPMarket($E24,M$1)</f>
        <v/>
      </c>
      <c r="N24" t="str">
        <f>_xll.RssFOPMarket($E24,N$1)</f>
        <v/>
      </c>
      <c r="O24" t="str">
        <f>_xll.RssFOPMarket($E24,O$1)</f>
        <v/>
      </c>
      <c r="P24" t="str">
        <f>_xll.RssFOPMarket($E24,P$1)</f>
        <v/>
      </c>
      <c r="Q24" t="str">
        <f>_xll.RssFOPMarket($E24,Q$1)</f>
        <v/>
      </c>
    </row>
    <row r="25" spans="1:17" x14ac:dyDescent="0.4">
      <c r="A25" t="str">
        <f t="shared" si="0"/>
        <v>N225MOP</v>
      </c>
      <c r="B25">
        <f t="shared" si="0"/>
        <v>202310</v>
      </c>
      <c r="C25" t="str">
        <f t="shared" si="0"/>
        <v>P</v>
      </c>
      <c r="D25">
        <f t="shared" si="1"/>
        <v>33625</v>
      </c>
      <c r="E25" t="str">
        <f>_xll.RssFOPCode(A25,B25,IF(C25="C",1,IF(C25="P",2,"")),D25)</f>
        <v>マーケットスピード II にログインして「接続中」の状態に変更してから利用してください。</v>
      </c>
      <c r="F25" t="str">
        <f>_xll.RssFOPMarket($E25,F$1)</f>
        <v/>
      </c>
      <c r="G25" t="str">
        <f>_xll.RssFOPMarket($E25,G$1)</f>
        <v/>
      </c>
      <c r="H25" t="str">
        <f>_xll.RssFOPMarket($E25,H$1)</f>
        <v/>
      </c>
      <c r="I25" t="str">
        <f>_xll.RssFOPMarket($E25,I$1)</f>
        <v/>
      </c>
      <c r="J25" t="str">
        <f>_xll.RssFOPMarket($E25,J$1)</f>
        <v/>
      </c>
      <c r="K25" t="str">
        <f>_xll.RssFOPMarket($E25,K$1)</f>
        <v/>
      </c>
      <c r="L25" t="str">
        <f>_xll.RssFOPMarket($E25,L$1)</f>
        <v/>
      </c>
      <c r="M25" t="str">
        <f>_xll.RssFOPMarket($E25,M$1)</f>
        <v/>
      </c>
      <c r="N25" t="str">
        <f>_xll.RssFOPMarket($E25,N$1)</f>
        <v/>
      </c>
      <c r="O25" t="str">
        <f>_xll.RssFOPMarket($E25,O$1)</f>
        <v/>
      </c>
      <c r="P25" t="str">
        <f>_xll.RssFOPMarket($E25,P$1)</f>
        <v/>
      </c>
      <c r="Q25" t="str">
        <f>_xll.RssFOPMarket($E25,Q$1)</f>
        <v/>
      </c>
    </row>
    <row r="26" spans="1:17" x14ac:dyDescent="0.4">
      <c r="A26" t="str">
        <f t="shared" si="0"/>
        <v>N225MOP</v>
      </c>
      <c r="B26">
        <f t="shared" si="0"/>
        <v>202310</v>
      </c>
      <c r="C26" t="str">
        <f t="shared" si="0"/>
        <v>P</v>
      </c>
      <c r="D26">
        <f t="shared" si="1"/>
        <v>33500</v>
      </c>
      <c r="E26" t="str">
        <f>_xll.RssFOPCode(A26,B26,IF(C26="C",1,IF(C26="P",2,"")),D26)</f>
        <v>マーケットスピード II にログインして「接続中」の状態に変更してから利用してください。</v>
      </c>
      <c r="F26" t="str">
        <f>_xll.RssFOPMarket($E26,F$1)</f>
        <v/>
      </c>
      <c r="G26" t="str">
        <f>_xll.RssFOPMarket($E26,G$1)</f>
        <v/>
      </c>
      <c r="H26" t="str">
        <f>_xll.RssFOPMarket($E26,H$1)</f>
        <v/>
      </c>
      <c r="I26" t="str">
        <f>_xll.RssFOPMarket($E26,I$1)</f>
        <v/>
      </c>
      <c r="J26" t="str">
        <f>_xll.RssFOPMarket($E26,J$1)</f>
        <v/>
      </c>
      <c r="K26" t="str">
        <f>_xll.RssFOPMarket($E26,K$1)</f>
        <v/>
      </c>
      <c r="L26" t="str">
        <f>_xll.RssFOPMarket($E26,L$1)</f>
        <v/>
      </c>
      <c r="M26" t="str">
        <f>_xll.RssFOPMarket($E26,M$1)</f>
        <v/>
      </c>
      <c r="N26" t="str">
        <f>_xll.RssFOPMarket($E26,N$1)</f>
        <v/>
      </c>
      <c r="O26" t="str">
        <f>_xll.RssFOPMarket($E26,O$1)</f>
        <v/>
      </c>
      <c r="P26" t="str">
        <f>_xll.RssFOPMarket($E26,P$1)</f>
        <v/>
      </c>
      <c r="Q26" t="str">
        <f>_xll.RssFOPMarket($E26,Q$1)</f>
        <v/>
      </c>
    </row>
    <row r="27" spans="1:17" x14ac:dyDescent="0.4">
      <c r="A27" t="str">
        <f t="shared" si="0"/>
        <v>N225MOP</v>
      </c>
      <c r="B27">
        <f t="shared" si="0"/>
        <v>202310</v>
      </c>
      <c r="C27" t="str">
        <f t="shared" si="0"/>
        <v>P</v>
      </c>
      <c r="D27">
        <f t="shared" si="1"/>
        <v>33375</v>
      </c>
      <c r="E27" t="str">
        <f>_xll.RssFOPCode(A27,B27,IF(C27="C",1,IF(C27="P",2,"")),D27)</f>
        <v>マーケットスピード II にログインして「接続中」の状態に変更してから利用してください。</v>
      </c>
      <c r="F27" t="str">
        <f>_xll.RssFOPMarket($E27,F$1)</f>
        <v/>
      </c>
      <c r="G27" t="str">
        <f>_xll.RssFOPMarket($E27,G$1)</f>
        <v/>
      </c>
      <c r="H27" t="str">
        <f>_xll.RssFOPMarket($E27,H$1)</f>
        <v/>
      </c>
      <c r="I27" t="str">
        <f>_xll.RssFOPMarket($E27,I$1)</f>
        <v/>
      </c>
      <c r="J27" t="str">
        <f>_xll.RssFOPMarket($E27,J$1)</f>
        <v/>
      </c>
      <c r="K27" t="str">
        <f>_xll.RssFOPMarket($E27,K$1)</f>
        <v/>
      </c>
      <c r="L27" t="str">
        <f>_xll.RssFOPMarket($E27,L$1)</f>
        <v/>
      </c>
      <c r="M27" t="str">
        <f>_xll.RssFOPMarket($E27,M$1)</f>
        <v/>
      </c>
      <c r="N27" t="str">
        <f>_xll.RssFOPMarket($E27,N$1)</f>
        <v/>
      </c>
      <c r="O27" t="str">
        <f>_xll.RssFOPMarket($E27,O$1)</f>
        <v/>
      </c>
      <c r="P27" t="str">
        <f>_xll.RssFOPMarket($E27,P$1)</f>
        <v/>
      </c>
      <c r="Q27" t="str">
        <f>_xll.RssFOPMarket($E27,Q$1)</f>
        <v/>
      </c>
    </row>
    <row r="28" spans="1:17" x14ac:dyDescent="0.4">
      <c r="A28" t="str">
        <f t="shared" si="0"/>
        <v>N225MOP</v>
      </c>
      <c r="B28">
        <f t="shared" si="0"/>
        <v>202310</v>
      </c>
      <c r="C28" t="str">
        <f t="shared" si="0"/>
        <v>P</v>
      </c>
      <c r="D28">
        <f t="shared" si="1"/>
        <v>33250</v>
      </c>
      <c r="E28" t="str">
        <f>_xll.RssFOPCode(A28,B28,IF(C28="C",1,IF(C28="P",2,"")),D28)</f>
        <v>マーケットスピード II にログインして「接続中」の状態に変更してから利用してください。</v>
      </c>
      <c r="F28" t="str">
        <f>_xll.RssFOPMarket($E28,F$1)</f>
        <v/>
      </c>
      <c r="G28" t="str">
        <f>_xll.RssFOPMarket($E28,G$1)</f>
        <v/>
      </c>
      <c r="H28" t="str">
        <f>_xll.RssFOPMarket($E28,H$1)</f>
        <v/>
      </c>
      <c r="I28" t="str">
        <f>_xll.RssFOPMarket($E28,I$1)</f>
        <v/>
      </c>
      <c r="J28" t="str">
        <f>_xll.RssFOPMarket($E28,J$1)</f>
        <v/>
      </c>
      <c r="K28" t="str">
        <f>_xll.RssFOPMarket($E28,K$1)</f>
        <v/>
      </c>
      <c r="L28" t="str">
        <f>_xll.RssFOPMarket($E28,L$1)</f>
        <v/>
      </c>
      <c r="M28" t="str">
        <f>_xll.RssFOPMarket($E28,M$1)</f>
        <v/>
      </c>
      <c r="N28" t="str">
        <f>_xll.RssFOPMarket($E28,N$1)</f>
        <v/>
      </c>
      <c r="O28" t="str">
        <f>_xll.RssFOPMarket($E28,O$1)</f>
        <v/>
      </c>
      <c r="P28" t="str">
        <f>_xll.RssFOPMarket($E28,P$1)</f>
        <v/>
      </c>
      <c r="Q28" t="str">
        <f>_xll.RssFOPMarket($E28,Q$1)</f>
        <v/>
      </c>
    </row>
    <row r="29" spans="1:17" x14ac:dyDescent="0.4">
      <c r="A29" t="str">
        <f t="shared" si="0"/>
        <v>N225MOP</v>
      </c>
      <c r="B29">
        <f t="shared" si="0"/>
        <v>202310</v>
      </c>
      <c r="C29" t="str">
        <f t="shared" si="0"/>
        <v>P</v>
      </c>
      <c r="D29">
        <f t="shared" si="1"/>
        <v>33125</v>
      </c>
      <c r="E29" t="str">
        <f>_xll.RssFOPCode(A29,B29,IF(C29="C",1,IF(C29="P",2,"")),D29)</f>
        <v>マーケットスピード II にログインして「接続中」の状態に変更してから利用してください。</v>
      </c>
      <c r="F29" t="str">
        <f>_xll.RssFOPMarket($E29,F$1)</f>
        <v/>
      </c>
      <c r="G29" t="str">
        <f>_xll.RssFOPMarket($E29,G$1)</f>
        <v/>
      </c>
      <c r="H29" t="str">
        <f>_xll.RssFOPMarket($E29,H$1)</f>
        <v/>
      </c>
      <c r="I29" t="str">
        <f>_xll.RssFOPMarket($E29,I$1)</f>
        <v/>
      </c>
      <c r="J29" t="str">
        <f>_xll.RssFOPMarket($E29,J$1)</f>
        <v/>
      </c>
      <c r="K29" t="str">
        <f>_xll.RssFOPMarket($E29,K$1)</f>
        <v/>
      </c>
      <c r="L29" t="str">
        <f>_xll.RssFOPMarket($E29,L$1)</f>
        <v/>
      </c>
      <c r="M29" t="str">
        <f>_xll.RssFOPMarket($E29,M$1)</f>
        <v/>
      </c>
      <c r="N29" t="str">
        <f>_xll.RssFOPMarket($E29,N$1)</f>
        <v/>
      </c>
      <c r="O29" t="str">
        <f>_xll.RssFOPMarket($E29,O$1)</f>
        <v/>
      </c>
      <c r="P29" t="str">
        <f>_xll.RssFOPMarket($E29,P$1)</f>
        <v/>
      </c>
      <c r="Q29" t="str">
        <f>_xll.RssFOPMarket($E29,Q$1)</f>
        <v/>
      </c>
    </row>
    <row r="30" spans="1:17" x14ac:dyDescent="0.4">
      <c r="A30" t="str">
        <f t="shared" si="0"/>
        <v>N225MOP</v>
      </c>
      <c r="B30">
        <f t="shared" si="0"/>
        <v>202310</v>
      </c>
      <c r="C30" t="str">
        <f t="shared" si="0"/>
        <v>P</v>
      </c>
      <c r="D30">
        <f t="shared" si="1"/>
        <v>33000</v>
      </c>
      <c r="E30" t="str">
        <f>_xll.RssFOPCode(A30,B30,IF(C30="C",1,IF(C30="P",2,"")),D30)</f>
        <v>マーケットスピード II にログインして「接続中」の状態に変更してから利用してください。</v>
      </c>
      <c r="F30" t="str">
        <f>_xll.RssFOPMarket($E30,F$1)</f>
        <v/>
      </c>
      <c r="G30" t="str">
        <f>_xll.RssFOPMarket($E30,G$1)</f>
        <v/>
      </c>
      <c r="H30" t="str">
        <f>_xll.RssFOPMarket($E30,H$1)</f>
        <v/>
      </c>
      <c r="I30" t="str">
        <f>_xll.RssFOPMarket($E30,I$1)</f>
        <v/>
      </c>
      <c r="J30" t="str">
        <f>_xll.RssFOPMarket($E30,J$1)</f>
        <v/>
      </c>
      <c r="K30" t="str">
        <f>_xll.RssFOPMarket($E30,K$1)</f>
        <v/>
      </c>
      <c r="L30" t="str">
        <f>_xll.RssFOPMarket($E30,L$1)</f>
        <v/>
      </c>
      <c r="M30" t="str">
        <f>_xll.RssFOPMarket($E30,M$1)</f>
        <v/>
      </c>
      <c r="N30" t="str">
        <f>_xll.RssFOPMarket($E30,N$1)</f>
        <v/>
      </c>
      <c r="O30" t="str">
        <f>_xll.RssFOPMarket($E30,O$1)</f>
        <v/>
      </c>
      <c r="P30" t="str">
        <f>_xll.RssFOPMarket($E30,P$1)</f>
        <v/>
      </c>
      <c r="Q30" t="str">
        <f>_xll.RssFOPMarket($E30,Q$1)</f>
        <v/>
      </c>
    </row>
    <row r="31" spans="1:17" x14ac:dyDescent="0.4">
      <c r="A31" t="str">
        <f t="shared" si="0"/>
        <v>N225MOP</v>
      </c>
      <c r="B31">
        <f t="shared" si="0"/>
        <v>202310</v>
      </c>
      <c r="C31" t="str">
        <f t="shared" si="0"/>
        <v>P</v>
      </c>
      <c r="D31">
        <f t="shared" si="1"/>
        <v>32875</v>
      </c>
      <c r="E31" t="str">
        <f>_xll.RssFOPCode(A31,B31,IF(C31="C",1,IF(C31="P",2,"")),D31)</f>
        <v>マーケットスピード II にログインして「接続中」の状態に変更してから利用してください。</v>
      </c>
      <c r="F31" t="str">
        <f>_xll.RssFOPMarket($E31,F$1)</f>
        <v/>
      </c>
      <c r="G31" t="str">
        <f>_xll.RssFOPMarket($E31,G$1)</f>
        <v/>
      </c>
      <c r="H31" t="str">
        <f>_xll.RssFOPMarket($E31,H$1)</f>
        <v/>
      </c>
      <c r="I31" t="str">
        <f>_xll.RssFOPMarket($E31,I$1)</f>
        <v/>
      </c>
      <c r="J31" t="str">
        <f>_xll.RssFOPMarket($E31,J$1)</f>
        <v/>
      </c>
      <c r="K31" t="str">
        <f>_xll.RssFOPMarket($E31,K$1)</f>
        <v/>
      </c>
      <c r="L31" t="str">
        <f>_xll.RssFOPMarket($E31,L$1)</f>
        <v/>
      </c>
      <c r="M31" t="str">
        <f>_xll.RssFOPMarket($E31,M$1)</f>
        <v/>
      </c>
      <c r="N31" t="str">
        <f>_xll.RssFOPMarket($E31,N$1)</f>
        <v/>
      </c>
      <c r="O31" t="str">
        <f>_xll.RssFOPMarket($E31,O$1)</f>
        <v/>
      </c>
      <c r="P31" t="str">
        <f>_xll.RssFOPMarket($E31,P$1)</f>
        <v/>
      </c>
      <c r="Q31" t="str">
        <f>_xll.RssFOPMarket($E31,Q$1)</f>
        <v/>
      </c>
    </row>
    <row r="32" spans="1:17" x14ac:dyDescent="0.4">
      <c r="A32" t="str">
        <f t="shared" si="0"/>
        <v>N225MOP</v>
      </c>
      <c r="B32">
        <f t="shared" si="0"/>
        <v>202310</v>
      </c>
      <c r="C32" t="str">
        <f t="shared" si="0"/>
        <v>P</v>
      </c>
      <c r="D32">
        <f t="shared" si="1"/>
        <v>32750</v>
      </c>
      <c r="E32" t="str">
        <f>_xll.RssFOPCode(A32,B32,IF(C32="C",1,IF(C32="P",2,"")),D32)</f>
        <v>マーケットスピード II にログインして「接続中」の状態に変更してから利用してください。</v>
      </c>
      <c r="F32" t="str">
        <f>_xll.RssFOPMarket($E32,F$1)</f>
        <v/>
      </c>
      <c r="G32" t="str">
        <f>_xll.RssFOPMarket($E32,G$1)</f>
        <v/>
      </c>
      <c r="H32" t="str">
        <f>_xll.RssFOPMarket($E32,H$1)</f>
        <v/>
      </c>
      <c r="I32" t="str">
        <f>_xll.RssFOPMarket($E32,I$1)</f>
        <v/>
      </c>
      <c r="J32" t="str">
        <f>_xll.RssFOPMarket($E32,J$1)</f>
        <v/>
      </c>
      <c r="K32" t="str">
        <f>_xll.RssFOPMarket($E32,K$1)</f>
        <v/>
      </c>
      <c r="L32" t="str">
        <f>_xll.RssFOPMarket($E32,L$1)</f>
        <v/>
      </c>
      <c r="M32" t="str">
        <f>_xll.RssFOPMarket($E32,M$1)</f>
        <v/>
      </c>
      <c r="N32" t="str">
        <f>_xll.RssFOPMarket($E32,N$1)</f>
        <v/>
      </c>
      <c r="O32" t="str">
        <f>_xll.RssFOPMarket($E32,O$1)</f>
        <v/>
      </c>
      <c r="P32" t="str">
        <f>_xll.RssFOPMarket($E32,P$1)</f>
        <v/>
      </c>
      <c r="Q32" t="str">
        <f>_xll.RssFOPMarket($E32,Q$1)</f>
        <v/>
      </c>
    </row>
    <row r="33" spans="1:17" x14ac:dyDescent="0.4">
      <c r="A33" t="str">
        <f t="shared" si="0"/>
        <v>N225MOP</v>
      </c>
      <c r="B33">
        <f t="shared" si="0"/>
        <v>202310</v>
      </c>
      <c r="C33" t="str">
        <f t="shared" si="0"/>
        <v>P</v>
      </c>
      <c r="D33">
        <f t="shared" si="1"/>
        <v>32625</v>
      </c>
      <c r="E33" t="str">
        <f>_xll.RssFOPCode(A33,B33,IF(C33="C",1,IF(C33="P",2,"")),D33)</f>
        <v>マーケットスピード II にログインして「接続中」の状態に変更してから利用してください。</v>
      </c>
      <c r="F33" t="str">
        <f>_xll.RssFOPMarket($E33,F$1)</f>
        <v/>
      </c>
      <c r="G33" t="str">
        <f>_xll.RssFOPMarket($E33,G$1)</f>
        <v/>
      </c>
      <c r="H33" t="str">
        <f>_xll.RssFOPMarket($E33,H$1)</f>
        <v/>
      </c>
      <c r="I33" t="str">
        <f>_xll.RssFOPMarket($E33,I$1)</f>
        <v/>
      </c>
      <c r="J33" t="str">
        <f>_xll.RssFOPMarket($E33,J$1)</f>
        <v/>
      </c>
      <c r="K33" t="str">
        <f>_xll.RssFOPMarket($E33,K$1)</f>
        <v/>
      </c>
      <c r="L33" t="str">
        <f>_xll.RssFOPMarket($E33,L$1)</f>
        <v/>
      </c>
      <c r="M33" t="str">
        <f>_xll.RssFOPMarket($E33,M$1)</f>
        <v/>
      </c>
      <c r="N33" t="str">
        <f>_xll.RssFOPMarket($E33,N$1)</f>
        <v/>
      </c>
      <c r="O33" t="str">
        <f>_xll.RssFOPMarket($E33,O$1)</f>
        <v/>
      </c>
      <c r="P33" t="str">
        <f>_xll.RssFOPMarket($E33,P$1)</f>
        <v/>
      </c>
      <c r="Q33" t="str">
        <f>_xll.RssFOPMarket($E33,Q$1)</f>
        <v/>
      </c>
    </row>
    <row r="34" spans="1:17" x14ac:dyDescent="0.4">
      <c r="A34" t="str">
        <f t="shared" si="0"/>
        <v>N225MOP</v>
      </c>
      <c r="B34">
        <f t="shared" si="0"/>
        <v>202310</v>
      </c>
      <c r="C34" t="str">
        <f t="shared" si="0"/>
        <v>P</v>
      </c>
      <c r="D34">
        <f t="shared" si="1"/>
        <v>32500</v>
      </c>
      <c r="E34" t="str">
        <f>_xll.RssFOPCode(A34,B34,IF(C34="C",1,IF(C34="P",2,"")),D34)</f>
        <v>マーケットスピード II にログインして「接続中」の状態に変更してから利用してください。</v>
      </c>
      <c r="F34" t="str">
        <f>_xll.RssFOPMarket($E34,F$1)</f>
        <v/>
      </c>
      <c r="G34" t="str">
        <f>_xll.RssFOPMarket($E34,G$1)</f>
        <v/>
      </c>
      <c r="H34" t="str">
        <f>_xll.RssFOPMarket($E34,H$1)</f>
        <v/>
      </c>
      <c r="I34" t="str">
        <f>_xll.RssFOPMarket($E34,I$1)</f>
        <v/>
      </c>
      <c r="J34" t="str">
        <f>_xll.RssFOPMarket($E34,J$1)</f>
        <v/>
      </c>
      <c r="K34" t="str">
        <f>_xll.RssFOPMarket($E34,K$1)</f>
        <v/>
      </c>
      <c r="L34" t="str">
        <f>_xll.RssFOPMarket($E34,L$1)</f>
        <v/>
      </c>
      <c r="M34" t="str">
        <f>_xll.RssFOPMarket($E34,M$1)</f>
        <v/>
      </c>
      <c r="N34" t="str">
        <f>_xll.RssFOPMarket($E34,N$1)</f>
        <v/>
      </c>
      <c r="O34" t="str">
        <f>_xll.RssFOPMarket($E34,O$1)</f>
        <v/>
      </c>
      <c r="P34" t="str">
        <f>_xll.RssFOPMarket($E34,P$1)</f>
        <v/>
      </c>
      <c r="Q34" t="str">
        <f>_xll.RssFOPMarket($E34,Q$1)</f>
        <v/>
      </c>
    </row>
    <row r="35" spans="1:17" x14ac:dyDescent="0.4">
      <c r="A35" t="str">
        <f t="shared" si="0"/>
        <v>N225MOP</v>
      </c>
      <c r="B35">
        <f t="shared" si="0"/>
        <v>202310</v>
      </c>
      <c r="C35" t="str">
        <f t="shared" si="0"/>
        <v>P</v>
      </c>
      <c r="D35">
        <f t="shared" si="1"/>
        <v>32375</v>
      </c>
      <c r="E35" t="str">
        <f>_xll.RssFOPCode(A35,B35,IF(C35="C",1,IF(C35="P",2,"")),D35)</f>
        <v>マーケットスピード II にログインして「接続中」の状態に変更してから利用してください。</v>
      </c>
      <c r="F35" t="str">
        <f>_xll.RssFOPMarket($E35,F$1)</f>
        <v/>
      </c>
      <c r="G35" t="str">
        <f>_xll.RssFOPMarket($E35,G$1)</f>
        <v/>
      </c>
      <c r="H35" t="str">
        <f>_xll.RssFOPMarket($E35,H$1)</f>
        <v/>
      </c>
      <c r="I35" t="str">
        <f>_xll.RssFOPMarket($E35,I$1)</f>
        <v/>
      </c>
      <c r="J35" t="str">
        <f>_xll.RssFOPMarket($E35,J$1)</f>
        <v/>
      </c>
      <c r="K35" t="str">
        <f>_xll.RssFOPMarket($E35,K$1)</f>
        <v/>
      </c>
      <c r="L35" t="str">
        <f>_xll.RssFOPMarket($E35,L$1)</f>
        <v/>
      </c>
      <c r="M35" t="str">
        <f>_xll.RssFOPMarket($E35,M$1)</f>
        <v/>
      </c>
      <c r="N35" t="str">
        <f>_xll.RssFOPMarket($E35,N$1)</f>
        <v/>
      </c>
      <c r="O35" t="str">
        <f>_xll.RssFOPMarket($E35,O$1)</f>
        <v/>
      </c>
      <c r="P35" t="str">
        <f>_xll.RssFOPMarket($E35,P$1)</f>
        <v/>
      </c>
      <c r="Q35" t="str">
        <f>_xll.RssFOPMarket($E35,Q$1)</f>
        <v/>
      </c>
    </row>
    <row r="36" spans="1:17" x14ac:dyDescent="0.4">
      <c r="A36" t="str">
        <f t="shared" si="0"/>
        <v>N225MOP</v>
      </c>
      <c r="B36">
        <f t="shared" si="0"/>
        <v>202310</v>
      </c>
      <c r="C36" t="str">
        <f t="shared" si="0"/>
        <v>P</v>
      </c>
      <c r="D36">
        <f t="shared" si="1"/>
        <v>32250</v>
      </c>
      <c r="E36" t="str">
        <f>_xll.RssFOPCode(A36,B36,IF(C36="C",1,IF(C36="P",2,"")),D36)</f>
        <v>マーケットスピード II にログインして「接続中」の状態に変更してから利用してください。</v>
      </c>
      <c r="F36" t="str">
        <f>_xll.RssFOPMarket($E36,F$1)</f>
        <v/>
      </c>
      <c r="G36" t="str">
        <f>_xll.RssFOPMarket($E36,G$1)</f>
        <v/>
      </c>
      <c r="H36" t="str">
        <f>_xll.RssFOPMarket($E36,H$1)</f>
        <v/>
      </c>
      <c r="I36" t="str">
        <f>_xll.RssFOPMarket($E36,I$1)</f>
        <v/>
      </c>
      <c r="J36" t="str">
        <f>_xll.RssFOPMarket($E36,J$1)</f>
        <v/>
      </c>
      <c r="K36" t="str">
        <f>_xll.RssFOPMarket($E36,K$1)</f>
        <v/>
      </c>
      <c r="L36" t="str">
        <f>_xll.RssFOPMarket($E36,L$1)</f>
        <v/>
      </c>
      <c r="M36" t="str">
        <f>_xll.RssFOPMarket($E36,M$1)</f>
        <v/>
      </c>
      <c r="N36" t="str">
        <f>_xll.RssFOPMarket($E36,N$1)</f>
        <v/>
      </c>
      <c r="O36" t="str">
        <f>_xll.RssFOPMarket($E36,O$1)</f>
        <v/>
      </c>
      <c r="P36" t="str">
        <f>_xll.RssFOPMarket($E36,P$1)</f>
        <v/>
      </c>
      <c r="Q36" t="str">
        <f>_xll.RssFOPMarket($E36,Q$1)</f>
        <v/>
      </c>
    </row>
    <row r="37" spans="1:17" x14ac:dyDescent="0.4">
      <c r="A37" t="str">
        <f t="shared" si="0"/>
        <v>N225MOP</v>
      </c>
      <c r="B37">
        <f t="shared" si="0"/>
        <v>202310</v>
      </c>
      <c r="C37" t="str">
        <f t="shared" si="0"/>
        <v>P</v>
      </c>
      <c r="D37">
        <f t="shared" si="1"/>
        <v>32125</v>
      </c>
      <c r="E37" t="str">
        <f>_xll.RssFOPCode(A37,B37,IF(C37="C",1,IF(C37="P",2,"")),D37)</f>
        <v>マーケットスピード II にログインして「接続中」の状態に変更してから利用してください。</v>
      </c>
      <c r="F37" t="str">
        <f>_xll.RssFOPMarket($E37,F$1)</f>
        <v/>
      </c>
      <c r="G37" t="str">
        <f>_xll.RssFOPMarket($E37,G$1)</f>
        <v/>
      </c>
      <c r="H37" t="str">
        <f>_xll.RssFOPMarket($E37,H$1)</f>
        <v/>
      </c>
      <c r="I37" t="str">
        <f>_xll.RssFOPMarket($E37,I$1)</f>
        <v/>
      </c>
      <c r="J37" t="str">
        <f>_xll.RssFOPMarket($E37,J$1)</f>
        <v/>
      </c>
      <c r="K37" t="str">
        <f>_xll.RssFOPMarket($E37,K$1)</f>
        <v/>
      </c>
      <c r="L37" t="str">
        <f>_xll.RssFOPMarket($E37,L$1)</f>
        <v/>
      </c>
      <c r="M37" t="str">
        <f>_xll.RssFOPMarket($E37,M$1)</f>
        <v/>
      </c>
      <c r="N37" t="str">
        <f>_xll.RssFOPMarket($E37,N$1)</f>
        <v/>
      </c>
      <c r="O37" t="str">
        <f>_xll.RssFOPMarket($E37,O$1)</f>
        <v/>
      </c>
      <c r="P37" t="str">
        <f>_xll.RssFOPMarket($E37,P$1)</f>
        <v/>
      </c>
      <c r="Q37" t="str">
        <f>_xll.RssFOPMarket($E37,Q$1)</f>
        <v/>
      </c>
    </row>
    <row r="38" spans="1:17" x14ac:dyDescent="0.4">
      <c r="A38" t="str">
        <f t="shared" si="0"/>
        <v>N225MOP</v>
      </c>
      <c r="B38">
        <f t="shared" si="0"/>
        <v>202310</v>
      </c>
      <c r="C38" t="s">
        <v>15</v>
      </c>
      <c r="D38">
        <f t="shared" si="1"/>
        <v>32000</v>
      </c>
      <c r="E38" t="str">
        <f>_xll.RssFOPCode(A38,B38,IF(C38="C",1,IF(C38="P",2,"")),D38)</f>
        <v>マーケットスピード II にログインして「接続中」の状態に変更してから利用してください。</v>
      </c>
      <c r="F38" t="str">
        <f>_xll.RssFOPMarket($E38,F$1)</f>
        <v/>
      </c>
      <c r="G38" t="str">
        <f>_xll.RssFOPMarket($E38,G$1)</f>
        <v/>
      </c>
      <c r="H38" t="str">
        <f>_xll.RssFOPMarket($E38,H$1)</f>
        <v/>
      </c>
      <c r="I38" t="str">
        <f>_xll.RssFOPMarket($E38,I$1)</f>
        <v/>
      </c>
      <c r="J38" t="str">
        <f>_xll.RssFOPMarket($E38,J$1)</f>
        <v/>
      </c>
      <c r="K38" t="str">
        <f>_xll.RssFOPMarket($E38,K$1)</f>
        <v/>
      </c>
      <c r="L38" t="str">
        <f>_xll.RssFOPMarket($E38,L$1)</f>
        <v/>
      </c>
      <c r="M38" t="str">
        <f>_xll.RssFOPMarket($E38,M$1)</f>
        <v/>
      </c>
      <c r="N38" t="str">
        <f>_xll.RssFOPMarket($E38,N$1)</f>
        <v/>
      </c>
      <c r="O38" t="str">
        <f>_xll.RssFOPMarket($E38,O$1)</f>
        <v/>
      </c>
      <c r="P38" t="str">
        <f>_xll.RssFOPMarket($E38,P$1)</f>
        <v/>
      </c>
      <c r="Q38" t="str">
        <f>_xll.RssFOPMarket($E38,Q$1)</f>
        <v/>
      </c>
    </row>
    <row r="39" spans="1:17" x14ac:dyDescent="0.4">
      <c r="A39" t="str">
        <f t="shared" si="0"/>
        <v>N225MOP</v>
      </c>
      <c r="B39">
        <f t="shared" si="0"/>
        <v>202310</v>
      </c>
      <c r="C39" t="str">
        <f t="shared" si="0"/>
        <v>C</v>
      </c>
      <c r="D39">
        <f t="shared" si="1"/>
        <v>31875</v>
      </c>
      <c r="E39" t="str">
        <f>_xll.RssFOPCode(A39,B39,IF(C39="C",1,IF(C39="P",2,"")),D39)</f>
        <v>マーケットスピード II にログインして「接続中」の状態に変更してから利用してください。</v>
      </c>
      <c r="F39" t="str">
        <f>_xll.RssFOPMarket($E39,F$1)</f>
        <v/>
      </c>
      <c r="G39" t="str">
        <f>_xll.RssFOPMarket($E39,G$1)</f>
        <v/>
      </c>
      <c r="H39" t="str">
        <f>_xll.RssFOPMarket($E39,H$1)</f>
        <v/>
      </c>
      <c r="I39" t="str">
        <f>_xll.RssFOPMarket($E39,I$1)</f>
        <v/>
      </c>
      <c r="J39" t="str">
        <f>_xll.RssFOPMarket($E39,J$1)</f>
        <v/>
      </c>
      <c r="K39" t="str">
        <f>_xll.RssFOPMarket($E39,K$1)</f>
        <v/>
      </c>
      <c r="L39" t="str">
        <f>_xll.RssFOPMarket($E39,L$1)</f>
        <v/>
      </c>
      <c r="M39" t="str">
        <f>_xll.RssFOPMarket($E39,M$1)</f>
        <v/>
      </c>
      <c r="N39" t="str">
        <f>_xll.RssFOPMarket($E39,N$1)</f>
        <v/>
      </c>
      <c r="O39" t="str">
        <f>_xll.RssFOPMarket($E39,O$1)</f>
        <v/>
      </c>
      <c r="P39" t="str">
        <f>_xll.RssFOPMarket($E39,P$1)</f>
        <v/>
      </c>
      <c r="Q39" t="str">
        <f>_xll.RssFOPMarket($E39,Q$1)</f>
        <v/>
      </c>
    </row>
    <row r="40" spans="1:17" x14ac:dyDescent="0.4">
      <c r="A40" t="str">
        <f t="shared" si="0"/>
        <v>N225MOP</v>
      </c>
      <c r="B40">
        <f t="shared" si="0"/>
        <v>202310</v>
      </c>
      <c r="C40" t="str">
        <f t="shared" si="0"/>
        <v>C</v>
      </c>
      <c r="D40">
        <f t="shared" si="1"/>
        <v>31750</v>
      </c>
      <c r="E40" t="str">
        <f>_xll.RssFOPCode(A40,B40,IF(C40="C",1,IF(C40="P",2,"")),D40)</f>
        <v>マーケットスピード II にログインして「接続中」の状態に変更してから利用してください。</v>
      </c>
      <c r="F40" t="str">
        <f>_xll.RssFOPMarket($E40,F$1)</f>
        <v/>
      </c>
      <c r="G40" t="str">
        <f>_xll.RssFOPMarket($E40,G$1)</f>
        <v/>
      </c>
      <c r="H40" t="str">
        <f>_xll.RssFOPMarket($E40,H$1)</f>
        <v/>
      </c>
      <c r="I40" t="str">
        <f>_xll.RssFOPMarket($E40,I$1)</f>
        <v/>
      </c>
      <c r="J40" t="str">
        <f>_xll.RssFOPMarket($E40,J$1)</f>
        <v/>
      </c>
      <c r="K40" t="str">
        <f>_xll.RssFOPMarket($E40,K$1)</f>
        <v/>
      </c>
      <c r="L40" t="str">
        <f>_xll.RssFOPMarket($E40,L$1)</f>
        <v/>
      </c>
      <c r="M40" t="str">
        <f>_xll.RssFOPMarket($E40,M$1)</f>
        <v/>
      </c>
      <c r="N40" t="str">
        <f>_xll.RssFOPMarket($E40,N$1)</f>
        <v/>
      </c>
      <c r="O40" t="str">
        <f>_xll.RssFOPMarket($E40,O$1)</f>
        <v/>
      </c>
      <c r="P40" t="str">
        <f>_xll.RssFOPMarket($E40,P$1)</f>
        <v/>
      </c>
      <c r="Q40" t="str">
        <f>_xll.RssFOPMarket($E40,Q$1)</f>
        <v/>
      </c>
    </row>
    <row r="41" spans="1:17" x14ac:dyDescent="0.4">
      <c r="A41" t="str">
        <f t="shared" si="0"/>
        <v>N225MOP</v>
      </c>
      <c r="B41">
        <f t="shared" si="0"/>
        <v>202310</v>
      </c>
      <c r="C41" t="str">
        <f t="shared" si="0"/>
        <v>C</v>
      </c>
      <c r="D41">
        <f t="shared" si="1"/>
        <v>31625</v>
      </c>
      <c r="E41" t="str">
        <f>_xll.RssFOPCode(A41,B41,IF(C41="C",1,IF(C41="P",2,"")),D41)</f>
        <v>マーケットスピード II にログインして「接続中」の状態に変更してから利用してください。</v>
      </c>
      <c r="F41" t="str">
        <f>_xll.RssFOPMarket($E41,F$1)</f>
        <v/>
      </c>
      <c r="G41" t="str">
        <f>_xll.RssFOPMarket($E41,G$1)</f>
        <v/>
      </c>
      <c r="H41" t="str">
        <f>_xll.RssFOPMarket($E41,H$1)</f>
        <v/>
      </c>
      <c r="I41" t="str">
        <f>_xll.RssFOPMarket($E41,I$1)</f>
        <v/>
      </c>
      <c r="J41" t="str">
        <f>_xll.RssFOPMarket($E41,J$1)</f>
        <v/>
      </c>
      <c r="K41" t="str">
        <f>_xll.RssFOPMarket($E41,K$1)</f>
        <v/>
      </c>
      <c r="L41" t="str">
        <f>_xll.RssFOPMarket($E41,L$1)</f>
        <v/>
      </c>
      <c r="M41" t="str">
        <f>_xll.RssFOPMarket($E41,M$1)</f>
        <v/>
      </c>
      <c r="N41" t="str">
        <f>_xll.RssFOPMarket($E41,N$1)</f>
        <v/>
      </c>
      <c r="O41" t="str">
        <f>_xll.RssFOPMarket($E41,O$1)</f>
        <v/>
      </c>
      <c r="P41" t="str">
        <f>_xll.RssFOPMarket($E41,P$1)</f>
        <v/>
      </c>
      <c r="Q41" t="str">
        <f>_xll.RssFOPMarket($E41,Q$1)</f>
        <v/>
      </c>
    </row>
    <row r="42" spans="1:17" x14ac:dyDescent="0.4">
      <c r="A42" t="str">
        <f t="shared" si="0"/>
        <v>N225MOP</v>
      </c>
      <c r="B42">
        <f t="shared" si="0"/>
        <v>202310</v>
      </c>
      <c r="C42" t="str">
        <f t="shared" si="0"/>
        <v>C</v>
      </c>
      <c r="D42">
        <f t="shared" si="1"/>
        <v>31500</v>
      </c>
      <c r="E42" t="str">
        <f>_xll.RssFOPCode(A42,B42,IF(C42="C",1,IF(C42="P",2,"")),D42)</f>
        <v>マーケットスピード II にログインして「接続中」の状態に変更してから利用してください。</v>
      </c>
      <c r="F42" t="str">
        <f>_xll.RssFOPMarket($E42,F$1)</f>
        <v/>
      </c>
      <c r="G42" t="str">
        <f>_xll.RssFOPMarket($E42,G$1)</f>
        <v/>
      </c>
      <c r="H42" t="str">
        <f>_xll.RssFOPMarket($E42,H$1)</f>
        <v/>
      </c>
      <c r="I42" t="str">
        <f>_xll.RssFOPMarket($E42,I$1)</f>
        <v/>
      </c>
      <c r="J42" t="str">
        <f>_xll.RssFOPMarket($E42,J$1)</f>
        <v/>
      </c>
      <c r="K42" t="str">
        <f>_xll.RssFOPMarket($E42,K$1)</f>
        <v/>
      </c>
      <c r="L42" t="str">
        <f>_xll.RssFOPMarket($E42,L$1)</f>
        <v/>
      </c>
      <c r="M42" t="str">
        <f>_xll.RssFOPMarket($E42,M$1)</f>
        <v/>
      </c>
      <c r="N42" t="str">
        <f>_xll.RssFOPMarket($E42,N$1)</f>
        <v/>
      </c>
      <c r="O42" t="str">
        <f>_xll.RssFOPMarket($E42,O$1)</f>
        <v/>
      </c>
      <c r="P42" t="str">
        <f>_xll.RssFOPMarket($E42,P$1)</f>
        <v/>
      </c>
      <c r="Q42" t="str">
        <f>_xll.RssFOPMarket($E42,Q$1)</f>
        <v/>
      </c>
    </row>
    <row r="43" spans="1:17" x14ac:dyDescent="0.4">
      <c r="A43" t="str">
        <f t="shared" si="0"/>
        <v>N225MOP</v>
      </c>
      <c r="B43">
        <f t="shared" si="0"/>
        <v>202310</v>
      </c>
      <c r="C43" t="str">
        <f t="shared" si="0"/>
        <v>C</v>
      </c>
      <c r="D43">
        <f t="shared" si="1"/>
        <v>31375</v>
      </c>
      <c r="E43" t="str">
        <f>_xll.RssFOPCode(A43,B43,IF(C43="C",1,IF(C43="P",2,"")),D43)</f>
        <v>マーケットスピード II にログインして「接続中」の状態に変更してから利用してください。</v>
      </c>
      <c r="F43" t="str">
        <f>_xll.RssFOPMarket($E43,F$1)</f>
        <v/>
      </c>
      <c r="G43" t="str">
        <f>_xll.RssFOPMarket($E43,G$1)</f>
        <v/>
      </c>
      <c r="H43" t="str">
        <f>_xll.RssFOPMarket($E43,H$1)</f>
        <v/>
      </c>
      <c r="I43" t="str">
        <f>_xll.RssFOPMarket($E43,I$1)</f>
        <v/>
      </c>
      <c r="J43" t="str">
        <f>_xll.RssFOPMarket($E43,J$1)</f>
        <v/>
      </c>
      <c r="K43" t="str">
        <f>_xll.RssFOPMarket($E43,K$1)</f>
        <v/>
      </c>
      <c r="L43" t="str">
        <f>_xll.RssFOPMarket($E43,L$1)</f>
        <v/>
      </c>
      <c r="M43" t="str">
        <f>_xll.RssFOPMarket($E43,M$1)</f>
        <v/>
      </c>
      <c r="N43" t="str">
        <f>_xll.RssFOPMarket($E43,N$1)</f>
        <v/>
      </c>
      <c r="O43" t="str">
        <f>_xll.RssFOPMarket($E43,O$1)</f>
        <v/>
      </c>
      <c r="P43" t="str">
        <f>_xll.RssFOPMarket($E43,P$1)</f>
        <v/>
      </c>
      <c r="Q43" t="str">
        <f>_xll.RssFOPMarket($E43,Q$1)</f>
        <v/>
      </c>
    </row>
    <row r="44" spans="1:17" x14ac:dyDescent="0.4">
      <c r="A44" t="str">
        <f t="shared" si="0"/>
        <v>N225MOP</v>
      </c>
      <c r="B44">
        <f t="shared" si="0"/>
        <v>202310</v>
      </c>
      <c r="C44" t="str">
        <f t="shared" si="0"/>
        <v>C</v>
      </c>
      <c r="D44">
        <f t="shared" si="1"/>
        <v>31250</v>
      </c>
      <c r="E44" t="str">
        <f>_xll.RssFOPCode(A44,B44,IF(C44="C",1,IF(C44="P",2,"")),D44)</f>
        <v>マーケットスピード II にログインして「接続中」の状態に変更してから利用してください。</v>
      </c>
      <c r="F44" t="str">
        <f>_xll.RssFOPMarket($E44,F$1)</f>
        <v/>
      </c>
      <c r="G44" t="str">
        <f>_xll.RssFOPMarket($E44,G$1)</f>
        <v/>
      </c>
      <c r="H44" t="str">
        <f>_xll.RssFOPMarket($E44,H$1)</f>
        <v/>
      </c>
      <c r="I44" t="str">
        <f>_xll.RssFOPMarket($E44,I$1)</f>
        <v/>
      </c>
      <c r="J44" t="str">
        <f>_xll.RssFOPMarket($E44,J$1)</f>
        <v/>
      </c>
      <c r="K44" t="str">
        <f>_xll.RssFOPMarket($E44,K$1)</f>
        <v/>
      </c>
      <c r="L44" t="str">
        <f>_xll.RssFOPMarket($E44,L$1)</f>
        <v/>
      </c>
      <c r="M44" t="str">
        <f>_xll.RssFOPMarket($E44,M$1)</f>
        <v/>
      </c>
      <c r="N44" t="str">
        <f>_xll.RssFOPMarket($E44,N$1)</f>
        <v/>
      </c>
      <c r="O44" t="str">
        <f>_xll.RssFOPMarket($E44,O$1)</f>
        <v/>
      </c>
      <c r="P44" t="str">
        <f>_xll.RssFOPMarket($E44,P$1)</f>
        <v/>
      </c>
      <c r="Q44" t="str">
        <f>_xll.RssFOPMarket($E44,Q$1)</f>
        <v/>
      </c>
    </row>
    <row r="45" spans="1:17" x14ac:dyDescent="0.4">
      <c r="A45" t="str">
        <f t="shared" si="0"/>
        <v>N225MOP</v>
      </c>
      <c r="B45">
        <f t="shared" si="0"/>
        <v>202310</v>
      </c>
      <c r="C45" t="str">
        <f t="shared" si="0"/>
        <v>C</v>
      </c>
      <c r="D45">
        <f t="shared" si="1"/>
        <v>31125</v>
      </c>
      <c r="E45" t="str">
        <f>_xll.RssFOPCode(A45,B45,IF(C45="C",1,IF(C45="P",2,"")),D45)</f>
        <v>マーケットスピード II にログインして「接続中」の状態に変更してから利用してください。</v>
      </c>
      <c r="F45" t="str">
        <f>_xll.RssFOPMarket($E45,F$1)</f>
        <v/>
      </c>
      <c r="G45" t="str">
        <f>_xll.RssFOPMarket($E45,G$1)</f>
        <v/>
      </c>
      <c r="H45" t="str">
        <f>_xll.RssFOPMarket($E45,H$1)</f>
        <v/>
      </c>
      <c r="I45" t="str">
        <f>_xll.RssFOPMarket($E45,I$1)</f>
        <v/>
      </c>
      <c r="J45" t="str">
        <f>_xll.RssFOPMarket($E45,J$1)</f>
        <v/>
      </c>
      <c r="K45" t="str">
        <f>_xll.RssFOPMarket($E45,K$1)</f>
        <v/>
      </c>
      <c r="L45" t="str">
        <f>_xll.RssFOPMarket($E45,L$1)</f>
        <v/>
      </c>
      <c r="M45" t="str">
        <f>_xll.RssFOPMarket($E45,M$1)</f>
        <v/>
      </c>
      <c r="N45" t="str">
        <f>_xll.RssFOPMarket($E45,N$1)</f>
        <v/>
      </c>
      <c r="O45" t="str">
        <f>_xll.RssFOPMarket($E45,O$1)</f>
        <v/>
      </c>
      <c r="P45" t="str">
        <f>_xll.RssFOPMarket($E45,P$1)</f>
        <v/>
      </c>
      <c r="Q45" t="str">
        <f>_xll.RssFOPMarket($E45,Q$1)</f>
        <v/>
      </c>
    </row>
    <row r="46" spans="1:17" x14ac:dyDescent="0.4">
      <c r="A46" t="str">
        <f t="shared" si="0"/>
        <v>N225MOP</v>
      </c>
      <c r="B46">
        <f t="shared" si="0"/>
        <v>202310</v>
      </c>
      <c r="C46" t="str">
        <f t="shared" si="0"/>
        <v>C</v>
      </c>
      <c r="D46">
        <f t="shared" si="1"/>
        <v>31000</v>
      </c>
      <c r="E46" t="str">
        <f>_xll.RssFOPCode(A46,B46,IF(C46="C",1,IF(C46="P",2,"")),D46)</f>
        <v>マーケットスピード II にログインして「接続中」の状態に変更してから利用してください。</v>
      </c>
      <c r="F46" t="str">
        <f>_xll.RssFOPMarket($E46,F$1)</f>
        <v/>
      </c>
      <c r="G46" t="str">
        <f>_xll.RssFOPMarket($E46,G$1)</f>
        <v/>
      </c>
      <c r="H46" t="str">
        <f>_xll.RssFOPMarket($E46,H$1)</f>
        <v/>
      </c>
      <c r="I46" t="str">
        <f>_xll.RssFOPMarket($E46,I$1)</f>
        <v/>
      </c>
      <c r="J46" t="str">
        <f>_xll.RssFOPMarket($E46,J$1)</f>
        <v/>
      </c>
      <c r="K46" t="str">
        <f>_xll.RssFOPMarket($E46,K$1)</f>
        <v/>
      </c>
      <c r="L46" t="str">
        <f>_xll.RssFOPMarket($E46,L$1)</f>
        <v/>
      </c>
      <c r="M46" t="str">
        <f>_xll.RssFOPMarket($E46,M$1)</f>
        <v/>
      </c>
      <c r="N46" t="str">
        <f>_xll.RssFOPMarket($E46,N$1)</f>
        <v/>
      </c>
      <c r="O46" t="str">
        <f>_xll.RssFOPMarket($E46,O$1)</f>
        <v/>
      </c>
      <c r="P46" t="str">
        <f>_xll.RssFOPMarket($E46,P$1)</f>
        <v/>
      </c>
      <c r="Q46" t="str">
        <f>_xll.RssFOPMarket($E46,Q$1)</f>
        <v/>
      </c>
    </row>
    <row r="47" spans="1:17" x14ac:dyDescent="0.4">
      <c r="A47" t="str">
        <f t="shared" si="0"/>
        <v>N225MOP</v>
      </c>
      <c r="B47">
        <f t="shared" si="0"/>
        <v>202310</v>
      </c>
      <c r="C47" t="str">
        <f t="shared" si="0"/>
        <v>C</v>
      </c>
      <c r="D47">
        <f t="shared" si="1"/>
        <v>30875</v>
      </c>
      <c r="E47" t="str">
        <f>_xll.RssFOPCode(A47,B47,IF(C47="C",1,IF(C47="P",2,"")),D47)</f>
        <v>マーケットスピード II にログインして「接続中」の状態に変更してから利用してください。</v>
      </c>
      <c r="F47" t="str">
        <f>_xll.RssFOPMarket($E47,F$1)</f>
        <v/>
      </c>
      <c r="G47" t="str">
        <f>_xll.RssFOPMarket($E47,G$1)</f>
        <v/>
      </c>
      <c r="H47" t="str">
        <f>_xll.RssFOPMarket($E47,H$1)</f>
        <v/>
      </c>
      <c r="I47" t="str">
        <f>_xll.RssFOPMarket($E47,I$1)</f>
        <v/>
      </c>
      <c r="J47" t="str">
        <f>_xll.RssFOPMarket($E47,J$1)</f>
        <v/>
      </c>
      <c r="K47" t="str">
        <f>_xll.RssFOPMarket($E47,K$1)</f>
        <v/>
      </c>
      <c r="L47" t="str">
        <f>_xll.RssFOPMarket($E47,L$1)</f>
        <v/>
      </c>
      <c r="M47" t="str">
        <f>_xll.RssFOPMarket($E47,M$1)</f>
        <v/>
      </c>
      <c r="N47" t="str">
        <f>_xll.RssFOPMarket($E47,N$1)</f>
        <v/>
      </c>
      <c r="O47" t="str">
        <f>_xll.RssFOPMarket($E47,O$1)</f>
        <v/>
      </c>
      <c r="P47" t="str">
        <f>_xll.RssFOPMarket($E47,P$1)</f>
        <v/>
      </c>
      <c r="Q47" t="str">
        <f>_xll.RssFOPMarket($E47,Q$1)</f>
        <v/>
      </c>
    </row>
    <row r="48" spans="1:17" x14ac:dyDescent="0.4">
      <c r="A48" t="str">
        <f t="shared" si="0"/>
        <v>N225MOP</v>
      </c>
      <c r="B48">
        <f t="shared" si="0"/>
        <v>202310</v>
      </c>
      <c r="C48" t="str">
        <f t="shared" si="0"/>
        <v>C</v>
      </c>
      <c r="D48">
        <f t="shared" si="1"/>
        <v>30750</v>
      </c>
      <c r="E48" t="str">
        <f>_xll.RssFOPCode(A48,B48,IF(C48="C",1,IF(C48="P",2,"")),D48)</f>
        <v>マーケットスピード II にログインして「接続中」の状態に変更してから利用してください。</v>
      </c>
      <c r="F48" t="str">
        <f>_xll.RssFOPMarket($E48,F$1)</f>
        <v/>
      </c>
      <c r="G48" t="str">
        <f>_xll.RssFOPMarket($E48,G$1)</f>
        <v/>
      </c>
      <c r="H48" t="str">
        <f>_xll.RssFOPMarket($E48,H$1)</f>
        <v/>
      </c>
      <c r="I48" t="str">
        <f>_xll.RssFOPMarket($E48,I$1)</f>
        <v/>
      </c>
      <c r="J48" t="str">
        <f>_xll.RssFOPMarket($E48,J$1)</f>
        <v/>
      </c>
      <c r="K48" t="str">
        <f>_xll.RssFOPMarket($E48,K$1)</f>
        <v/>
      </c>
      <c r="L48" t="str">
        <f>_xll.RssFOPMarket($E48,L$1)</f>
        <v/>
      </c>
      <c r="M48" t="str">
        <f>_xll.RssFOPMarket($E48,M$1)</f>
        <v/>
      </c>
      <c r="N48" t="str">
        <f>_xll.RssFOPMarket($E48,N$1)</f>
        <v/>
      </c>
      <c r="O48" t="str">
        <f>_xll.RssFOPMarket($E48,O$1)</f>
        <v/>
      </c>
      <c r="P48" t="str">
        <f>_xll.RssFOPMarket($E48,P$1)</f>
        <v/>
      </c>
      <c r="Q48" t="str">
        <f>_xll.RssFOPMarket($E48,Q$1)</f>
        <v/>
      </c>
    </row>
    <row r="49" spans="1:17" x14ac:dyDescent="0.4">
      <c r="A49" t="str">
        <f t="shared" si="0"/>
        <v>N225MOP</v>
      </c>
      <c r="B49">
        <f t="shared" si="0"/>
        <v>202310</v>
      </c>
      <c r="C49" t="str">
        <f t="shared" si="0"/>
        <v>C</v>
      </c>
      <c r="D49">
        <f t="shared" si="1"/>
        <v>30625</v>
      </c>
      <c r="E49" t="str">
        <f>_xll.RssFOPCode(A49,B49,IF(C49="C",1,IF(C49="P",2,"")),D49)</f>
        <v>マーケットスピード II にログインして「接続中」の状態に変更してから利用してください。</v>
      </c>
      <c r="F49" t="str">
        <f>_xll.RssFOPMarket($E49,F$1)</f>
        <v/>
      </c>
      <c r="G49" t="str">
        <f>_xll.RssFOPMarket($E49,G$1)</f>
        <v/>
      </c>
      <c r="H49" t="str">
        <f>_xll.RssFOPMarket($E49,H$1)</f>
        <v/>
      </c>
      <c r="I49" t="str">
        <f>_xll.RssFOPMarket($E49,I$1)</f>
        <v/>
      </c>
      <c r="J49" t="str">
        <f>_xll.RssFOPMarket($E49,J$1)</f>
        <v/>
      </c>
      <c r="K49" t="str">
        <f>_xll.RssFOPMarket($E49,K$1)</f>
        <v/>
      </c>
      <c r="L49" t="str">
        <f>_xll.RssFOPMarket($E49,L$1)</f>
        <v/>
      </c>
      <c r="M49" t="str">
        <f>_xll.RssFOPMarket($E49,M$1)</f>
        <v/>
      </c>
      <c r="N49" t="str">
        <f>_xll.RssFOPMarket($E49,N$1)</f>
        <v/>
      </c>
      <c r="O49" t="str">
        <f>_xll.RssFOPMarket($E49,O$1)</f>
        <v/>
      </c>
      <c r="P49" t="str">
        <f>_xll.RssFOPMarket($E49,P$1)</f>
        <v/>
      </c>
      <c r="Q49" t="str">
        <f>_xll.RssFOPMarket($E49,Q$1)</f>
        <v/>
      </c>
    </row>
    <row r="50" spans="1:17" x14ac:dyDescent="0.4">
      <c r="A50" t="str">
        <f t="shared" si="0"/>
        <v>N225MOP</v>
      </c>
      <c r="B50">
        <f t="shared" si="0"/>
        <v>202310</v>
      </c>
      <c r="C50" t="str">
        <f t="shared" si="0"/>
        <v>C</v>
      </c>
      <c r="D50">
        <f t="shared" si="1"/>
        <v>30500</v>
      </c>
      <c r="E50" t="str">
        <f>_xll.RssFOPCode(A50,B50,IF(C50="C",1,IF(C50="P",2,"")),D50)</f>
        <v>マーケットスピード II にログインして「接続中」の状態に変更してから利用してください。</v>
      </c>
      <c r="F50" t="str">
        <f>_xll.RssFOPMarket($E50,F$1)</f>
        <v/>
      </c>
      <c r="G50" t="str">
        <f>_xll.RssFOPMarket($E50,G$1)</f>
        <v/>
      </c>
      <c r="H50" t="str">
        <f>_xll.RssFOPMarket($E50,H$1)</f>
        <v/>
      </c>
      <c r="I50" t="str">
        <f>_xll.RssFOPMarket($E50,I$1)</f>
        <v/>
      </c>
      <c r="J50" t="str">
        <f>_xll.RssFOPMarket($E50,J$1)</f>
        <v/>
      </c>
      <c r="K50" t="str">
        <f>_xll.RssFOPMarket($E50,K$1)</f>
        <v/>
      </c>
      <c r="L50" t="str">
        <f>_xll.RssFOPMarket($E50,L$1)</f>
        <v/>
      </c>
      <c r="M50" t="str">
        <f>_xll.RssFOPMarket($E50,M$1)</f>
        <v/>
      </c>
      <c r="N50" t="str">
        <f>_xll.RssFOPMarket($E50,N$1)</f>
        <v/>
      </c>
      <c r="O50" t="str">
        <f>_xll.RssFOPMarket($E50,O$1)</f>
        <v/>
      </c>
      <c r="P50" t="str">
        <f>_xll.RssFOPMarket($E50,P$1)</f>
        <v/>
      </c>
      <c r="Q50" t="str">
        <f>_xll.RssFOPMarket($E50,Q$1)</f>
        <v/>
      </c>
    </row>
    <row r="51" spans="1:17" x14ac:dyDescent="0.4">
      <c r="A51" t="str">
        <f t="shared" si="0"/>
        <v>N225MOP</v>
      </c>
      <c r="B51">
        <f t="shared" si="0"/>
        <v>202310</v>
      </c>
      <c r="C51" t="str">
        <f t="shared" si="0"/>
        <v>C</v>
      </c>
      <c r="D51">
        <f t="shared" si="1"/>
        <v>30375</v>
      </c>
      <c r="E51" t="str">
        <f>_xll.RssFOPCode(A51,B51,IF(C51="C",1,IF(C51="P",2,"")),D51)</f>
        <v>マーケットスピード II にログインして「接続中」の状態に変更してから利用してください。</v>
      </c>
      <c r="F51" t="str">
        <f>_xll.RssFOPMarket($E51,F$1)</f>
        <v/>
      </c>
      <c r="G51" t="str">
        <f>_xll.RssFOPMarket($E51,G$1)</f>
        <v/>
      </c>
      <c r="H51" t="str">
        <f>_xll.RssFOPMarket($E51,H$1)</f>
        <v/>
      </c>
      <c r="I51" t="str">
        <f>_xll.RssFOPMarket($E51,I$1)</f>
        <v/>
      </c>
      <c r="J51" t="str">
        <f>_xll.RssFOPMarket($E51,J$1)</f>
        <v/>
      </c>
      <c r="K51" t="str">
        <f>_xll.RssFOPMarket($E51,K$1)</f>
        <v/>
      </c>
      <c r="L51" t="str">
        <f>_xll.RssFOPMarket($E51,L$1)</f>
        <v/>
      </c>
      <c r="M51" t="str">
        <f>_xll.RssFOPMarket($E51,M$1)</f>
        <v/>
      </c>
      <c r="N51" t="str">
        <f>_xll.RssFOPMarket($E51,N$1)</f>
        <v/>
      </c>
      <c r="O51" t="str">
        <f>_xll.RssFOPMarket($E51,O$1)</f>
        <v/>
      </c>
      <c r="P51" t="str">
        <f>_xll.RssFOPMarket($E51,P$1)</f>
        <v/>
      </c>
      <c r="Q51" t="str">
        <f>_xll.RssFOPMarket($E51,Q$1)</f>
        <v/>
      </c>
    </row>
    <row r="52" spans="1:17" x14ac:dyDescent="0.4">
      <c r="A52" t="str">
        <f t="shared" si="0"/>
        <v>N225MOP</v>
      </c>
      <c r="B52">
        <f t="shared" si="0"/>
        <v>202310</v>
      </c>
      <c r="C52" t="str">
        <f t="shared" si="0"/>
        <v>C</v>
      </c>
      <c r="D52">
        <f t="shared" si="1"/>
        <v>30250</v>
      </c>
      <c r="E52" t="str">
        <f>_xll.RssFOPCode(A52,B52,IF(C52="C",1,IF(C52="P",2,"")),D52)</f>
        <v>マーケットスピード II にログインして「接続中」の状態に変更してから利用してください。</v>
      </c>
      <c r="F52" t="str">
        <f>_xll.RssFOPMarket($E52,F$1)</f>
        <v/>
      </c>
      <c r="G52" t="str">
        <f>_xll.RssFOPMarket($E52,G$1)</f>
        <v/>
      </c>
      <c r="H52" t="str">
        <f>_xll.RssFOPMarket($E52,H$1)</f>
        <v/>
      </c>
      <c r="I52" t="str">
        <f>_xll.RssFOPMarket($E52,I$1)</f>
        <v/>
      </c>
      <c r="J52" t="str">
        <f>_xll.RssFOPMarket($E52,J$1)</f>
        <v/>
      </c>
      <c r="K52" t="str">
        <f>_xll.RssFOPMarket($E52,K$1)</f>
        <v/>
      </c>
      <c r="L52" t="str">
        <f>_xll.RssFOPMarket($E52,L$1)</f>
        <v/>
      </c>
      <c r="M52" t="str">
        <f>_xll.RssFOPMarket($E52,M$1)</f>
        <v/>
      </c>
      <c r="N52" t="str">
        <f>_xll.RssFOPMarket($E52,N$1)</f>
        <v/>
      </c>
      <c r="O52" t="str">
        <f>_xll.RssFOPMarket($E52,O$1)</f>
        <v/>
      </c>
      <c r="P52" t="str">
        <f>_xll.RssFOPMarket($E52,P$1)</f>
        <v/>
      </c>
      <c r="Q52" t="str">
        <f>_xll.RssFOPMarket($E52,Q$1)</f>
        <v/>
      </c>
    </row>
    <row r="53" spans="1:17" x14ac:dyDescent="0.4">
      <c r="A53" t="str">
        <f t="shared" si="0"/>
        <v>N225MOP</v>
      </c>
      <c r="B53">
        <f t="shared" si="0"/>
        <v>202310</v>
      </c>
      <c r="C53" t="str">
        <f t="shared" si="0"/>
        <v>C</v>
      </c>
      <c r="D53">
        <f t="shared" si="1"/>
        <v>30125</v>
      </c>
      <c r="E53" t="str">
        <f>_xll.RssFOPCode(A53,B53,IF(C53="C",1,IF(C53="P",2,"")),D53)</f>
        <v>マーケットスピード II にログインして「接続中」の状態に変更してから利用してください。</v>
      </c>
      <c r="F53" t="str">
        <f>_xll.RssFOPMarket($E53,F$1)</f>
        <v/>
      </c>
      <c r="G53" t="str">
        <f>_xll.RssFOPMarket($E53,G$1)</f>
        <v/>
      </c>
      <c r="H53" t="str">
        <f>_xll.RssFOPMarket($E53,H$1)</f>
        <v/>
      </c>
      <c r="I53" t="str">
        <f>_xll.RssFOPMarket($E53,I$1)</f>
        <v/>
      </c>
      <c r="J53" t="str">
        <f>_xll.RssFOPMarket($E53,J$1)</f>
        <v/>
      </c>
      <c r="K53" t="str">
        <f>_xll.RssFOPMarket($E53,K$1)</f>
        <v/>
      </c>
      <c r="L53" t="str">
        <f>_xll.RssFOPMarket($E53,L$1)</f>
        <v/>
      </c>
      <c r="M53" t="str">
        <f>_xll.RssFOPMarket($E53,M$1)</f>
        <v/>
      </c>
      <c r="N53" t="str">
        <f>_xll.RssFOPMarket($E53,N$1)</f>
        <v/>
      </c>
      <c r="O53" t="str">
        <f>_xll.RssFOPMarket($E53,O$1)</f>
        <v/>
      </c>
      <c r="P53" t="str">
        <f>_xll.RssFOPMarket($E53,P$1)</f>
        <v/>
      </c>
      <c r="Q53" t="str">
        <f>_xll.RssFOPMarket($E53,Q$1)</f>
        <v/>
      </c>
    </row>
    <row r="54" spans="1:17" x14ac:dyDescent="0.4">
      <c r="A54" t="str">
        <f t="shared" si="0"/>
        <v>N225MOP</v>
      </c>
      <c r="B54">
        <f t="shared" si="0"/>
        <v>202310</v>
      </c>
      <c r="C54" t="str">
        <f t="shared" si="0"/>
        <v>C</v>
      </c>
      <c r="D54">
        <f t="shared" si="1"/>
        <v>30000</v>
      </c>
      <c r="E54" t="str">
        <f>_xll.RssFOPCode(A54,B54,IF(C54="C",1,IF(C54="P",2,"")),D54)</f>
        <v>マーケットスピード II にログインして「接続中」の状態に変更してから利用してください。</v>
      </c>
      <c r="F54" t="str">
        <f>_xll.RssFOPMarket($E54,F$1)</f>
        <v/>
      </c>
      <c r="G54" t="str">
        <f>_xll.RssFOPMarket($E54,G$1)</f>
        <v/>
      </c>
      <c r="H54" t="str">
        <f>_xll.RssFOPMarket($E54,H$1)</f>
        <v/>
      </c>
      <c r="I54" t="str">
        <f>_xll.RssFOPMarket($E54,I$1)</f>
        <v/>
      </c>
      <c r="J54" t="str">
        <f>_xll.RssFOPMarket($E54,J$1)</f>
        <v/>
      </c>
      <c r="K54" t="str">
        <f>_xll.RssFOPMarket($E54,K$1)</f>
        <v/>
      </c>
      <c r="L54" t="str">
        <f>_xll.RssFOPMarket($E54,L$1)</f>
        <v/>
      </c>
      <c r="M54" t="str">
        <f>_xll.RssFOPMarket($E54,M$1)</f>
        <v/>
      </c>
      <c r="N54" t="str">
        <f>_xll.RssFOPMarket($E54,N$1)</f>
        <v/>
      </c>
      <c r="O54" t="str">
        <f>_xll.RssFOPMarket($E54,O$1)</f>
        <v/>
      </c>
      <c r="P54" t="str">
        <f>_xll.RssFOPMarket($E54,P$1)</f>
        <v/>
      </c>
      <c r="Q54" t="str">
        <f>_xll.RssFOPMarket($E54,Q$1)</f>
        <v/>
      </c>
    </row>
    <row r="55" spans="1:17" x14ac:dyDescent="0.4">
      <c r="A55" t="str">
        <f t="shared" si="0"/>
        <v>N225MOP</v>
      </c>
      <c r="B55">
        <f t="shared" si="0"/>
        <v>202310</v>
      </c>
      <c r="C55" t="str">
        <f t="shared" si="0"/>
        <v>C</v>
      </c>
      <c r="D55">
        <f t="shared" si="1"/>
        <v>29875</v>
      </c>
      <c r="E55" t="str">
        <f>_xll.RssFOPCode(A55,B55,IF(C55="C",1,IF(C55="P",2,"")),D55)</f>
        <v>マーケットスピード II にログインして「接続中」の状態に変更してから利用してください。</v>
      </c>
      <c r="F55" t="str">
        <f>_xll.RssFOPMarket($E55,F$1)</f>
        <v/>
      </c>
      <c r="G55" t="str">
        <f>_xll.RssFOPMarket($E55,G$1)</f>
        <v/>
      </c>
      <c r="H55" t="str">
        <f>_xll.RssFOPMarket($E55,H$1)</f>
        <v/>
      </c>
      <c r="I55" t="str">
        <f>_xll.RssFOPMarket($E55,I$1)</f>
        <v/>
      </c>
      <c r="J55" t="str">
        <f>_xll.RssFOPMarket($E55,J$1)</f>
        <v/>
      </c>
      <c r="K55" t="str">
        <f>_xll.RssFOPMarket($E55,K$1)</f>
        <v/>
      </c>
      <c r="L55" t="str">
        <f>_xll.RssFOPMarket($E55,L$1)</f>
        <v/>
      </c>
      <c r="M55" t="str">
        <f>_xll.RssFOPMarket($E55,M$1)</f>
        <v/>
      </c>
      <c r="N55" t="str">
        <f>_xll.RssFOPMarket($E55,N$1)</f>
        <v/>
      </c>
      <c r="O55" t="str">
        <f>_xll.RssFOPMarket($E55,O$1)</f>
        <v/>
      </c>
      <c r="P55" t="str">
        <f>_xll.RssFOPMarket($E55,P$1)</f>
        <v/>
      </c>
      <c r="Q55" t="str">
        <f>_xll.RssFOPMarket($E55,Q$1)</f>
        <v/>
      </c>
    </row>
    <row r="56" spans="1:17" x14ac:dyDescent="0.4">
      <c r="A56" t="str">
        <f t="shared" si="0"/>
        <v>N225MOP</v>
      </c>
      <c r="B56">
        <f t="shared" si="0"/>
        <v>202310</v>
      </c>
      <c r="C56" t="str">
        <f t="shared" si="0"/>
        <v>C</v>
      </c>
      <c r="D56">
        <f t="shared" si="1"/>
        <v>29750</v>
      </c>
      <c r="E56" t="str">
        <f>_xll.RssFOPCode(A56,B56,IF(C56="C",1,IF(C56="P",2,"")),D56)</f>
        <v>マーケットスピード II にログインして「接続中」の状態に変更してから利用してください。</v>
      </c>
      <c r="F56" t="str">
        <f>_xll.RssFOPMarket($E56,F$1)</f>
        <v/>
      </c>
      <c r="G56" t="str">
        <f>_xll.RssFOPMarket($E56,G$1)</f>
        <v/>
      </c>
      <c r="H56" t="str">
        <f>_xll.RssFOPMarket($E56,H$1)</f>
        <v/>
      </c>
      <c r="I56" t="str">
        <f>_xll.RssFOPMarket($E56,I$1)</f>
        <v/>
      </c>
      <c r="J56" t="str">
        <f>_xll.RssFOPMarket($E56,J$1)</f>
        <v/>
      </c>
      <c r="K56" t="str">
        <f>_xll.RssFOPMarket($E56,K$1)</f>
        <v/>
      </c>
      <c r="L56" t="str">
        <f>_xll.RssFOPMarket($E56,L$1)</f>
        <v/>
      </c>
      <c r="M56" t="str">
        <f>_xll.RssFOPMarket($E56,M$1)</f>
        <v/>
      </c>
      <c r="N56" t="str">
        <f>_xll.RssFOPMarket($E56,N$1)</f>
        <v/>
      </c>
      <c r="O56" t="str">
        <f>_xll.RssFOPMarket($E56,O$1)</f>
        <v/>
      </c>
      <c r="P56" t="str">
        <f>_xll.RssFOPMarket($E56,P$1)</f>
        <v/>
      </c>
      <c r="Q56" t="str">
        <f>_xll.RssFOPMarket($E56,Q$1)</f>
        <v/>
      </c>
    </row>
    <row r="57" spans="1:17" x14ac:dyDescent="0.4">
      <c r="A57" t="str">
        <f t="shared" si="0"/>
        <v>N225MOP</v>
      </c>
      <c r="B57">
        <f t="shared" si="0"/>
        <v>202310</v>
      </c>
      <c r="C57" t="str">
        <f t="shared" si="0"/>
        <v>C</v>
      </c>
      <c r="D57">
        <f t="shared" si="1"/>
        <v>29625</v>
      </c>
      <c r="E57" t="str">
        <f>_xll.RssFOPCode(A57,B57,IF(C57="C",1,IF(C57="P",2,"")),D57)</f>
        <v>マーケットスピード II にログインして「接続中」の状態に変更してから利用してください。</v>
      </c>
      <c r="F57" t="str">
        <f>_xll.RssFOPMarket($E57,F$1)</f>
        <v/>
      </c>
      <c r="G57" t="str">
        <f>_xll.RssFOPMarket($E57,G$1)</f>
        <v/>
      </c>
      <c r="H57" t="str">
        <f>_xll.RssFOPMarket($E57,H$1)</f>
        <v/>
      </c>
      <c r="I57" t="str">
        <f>_xll.RssFOPMarket($E57,I$1)</f>
        <v/>
      </c>
      <c r="J57" t="str">
        <f>_xll.RssFOPMarket($E57,J$1)</f>
        <v/>
      </c>
      <c r="K57" t="str">
        <f>_xll.RssFOPMarket($E57,K$1)</f>
        <v/>
      </c>
      <c r="L57" t="str">
        <f>_xll.RssFOPMarket($E57,L$1)</f>
        <v/>
      </c>
      <c r="M57" t="str">
        <f>_xll.RssFOPMarket($E57,M$1)</f>
        <v/>
      </c>
      <c r="N57" t="str">
        <f>_xll.RssFOPMarket($E57,N$1)</f>
        <v/>
      </c>
      <c r="O57" t="str">
        <f>_xll.RssFOPMarket($E57,O$1)</f>
        <v/>
      </c>
      <c r="P57" t="str">
        <f>_xll.RssFOPMarket($E57,P$1)</f>
        <v/>
      </c>
      <c r="Q57" t="str">
        <f>_xll.RssFOPMarket($E57,Q$1)</f>
        <v/>
      </c>
    </row>
    <row r="58" spans="1:17" x14ac:dyDescent="0.4">
      <c r="A58" t="str">
        <f t="shared" si="0"/>
        <v>N225MOP</v>
      </c>
      <c r="B58">
        <f t="shared" si="0"/>
        <v>202310</v>
      </c>
      <c r="C58" t="str">
        <f t="shared" si="0"/>
        <v>C</v>
      </c>
      <c r="D58">
        <f t="shared" si="1"/>
        <v>29500</v>
      </c>
      <c r="E58" t="str">
        <f>_xll.RssFOPCode(A58,B58,IF(C58="C",1,IF(C58="P",2,"")),D58)</f>
        <v>マーケットスピード II にログインして「接続中」の状態に変更してから利用してください。</v>
      </c>
      <c r="F58" t="str">
        <f>_xll.RssFOPMarket($E58,F$1)</f>
        <v/>
      </c>
      <c r="G58" t="str">
        <f>_xll.RssFOPMarket($E58,G$1)</f>
        <v/>
      </c>
      <c r="H58" t="str">
        <f>_xll.RssFOPMarket($E58,H$1)</f>
        <v/>
      </c>
      <c r="I58" t="str">
        <f>_xll.RssFOPMarket($E58,I$1)</f>
        <v/>
      </c>
      <c r="J58" t="str">
        <f>_xll.RssFOPMarket($E58,J$1)</f>
        <v/>
      </c>
      <c r="K58" t="str">
        <f>_xll.RssFOPMarket($E58,K$1)</f>
        <v/>
      </c>
      <c r="L58" t="str">
        <f>_xll.RssFOPMarket($E58,L$1)</f>
        <v/>
      </c>
      <c r="M58" t="str">
        <f>_xll.RssFOPMarket($E58,M$1)</f>
        <v/>
      </c>
      <c r="N58" t="str">
        <f>_xll.RssFOPMarket($E58,N$1)</f>
        <v/>
      </c>
      <c r="O58" t="str">
        <f>_xll.RssFOPMarket($E58,O$1)</f>
        <v/>
      </c>
      <c r="P58" t="str">
        <f>_xll.RssFOPMarket($E58,P$1)</f>
        <v/>
      </c>
      <c r="Q58" t="str">
        <f>_xll.RssFOPMarket($E58,Q$1)</f>
        <v/>
      </c>
    </row>
    <row r="59" spans="1:17" x14ac:dyDescent="0.4">
      <c r="A59" t="str">
        <f t="shared" si="0"/>
        <v>N225MOP</v>
      </c>
      <c r="B59">
        <f t="shared" si="0"/>
        <v>202310</v>
      </c>
      <c r="C59" t="str">
        <f t="shared" si="0"/>
        <v>C</v>
      </c>
      <c r="D59">
        <f t="shared" si="1"/>
        <v>29375</v>
      </c>
      <c r="E59" t="str">
        <f>_xll.RssFOPCode(A59,B59,IF(C59="C",1,IF(C59="P",2,"")),D59)</f>
        <v>マーケットスピード II にログインして「接続中」の状態に変更してから利用してください。</v>
      </c>
      <c r="F59" t="str">
        <f>_xll.RssFOPMarket($E59,F$1)</f>
        <v/>
      </c>
      <c r="G59" t="str">
        <f>_xll.RssFOPMarket($E59,G$1)</f>
        <v/>
      </c>
      <c r="H59" t="str">
        <f>_xll.RssFOPMarket($E59,H$1)</f>
        <v/>
      </c>
      <c r="I59" t="str">
        <f>_xll.RssFOPMarket($E59,I$1)</f>
        <v/>
      </c>
      <c r="J59" t="str">
        <f>_xll.RssFOPMarket($E59,J$1)</f>
        <v/>
      </c>
      <c r="K59" t="str">
        <f>_xll.RssFOPMarket($E59,K$1)</f>
        <v/>
      </c>
      <c r="L59" t="str">
        <f>_xll.RssFOPMarket($E59,L$1)</f>
        <v/>
      </c>
      <c r="M59" t="str">
        <f>_xll.RssFOPMarket($E59,M$1)</f>
        <v/>
      </c>
      <c r="N59" t="str">
        <f>_xll.RssFOPMarket($E59,N$1)</f>
        <v/>
      </c>
      <c r="O59" t="str">
        <f>_xll.RssFOPMarket($E59,O$1)</f>
        <v/>
      </c>
      <c r="P59" t="str">
        <f>_xll.RssFOPMarket($E59,P$1)</f>
        <v/>
      </c>
      <c r="Q59" t="str">
        <f>_xll.RssFOPMarket($E59,Q$1)</f>
        <v/>
      </c>
    </row>
    <row r="60" spans="1:17" x14ac:dyDescent="0.4">
      <c r="A60" t="str">
        <f t="shared" si="0"/>
        <v>N225MOP</v>
      </c>
      <c r="B60">
        <f t="shared" si="0"/>
        <v>202310</v>
      </c>
      <c r="C60" t="str">
        <f t="shared" si="0"/>
        <v>C</v>
      </c>
      <c r="D60">
        <f t="shared" si="1"/>
        <v>29250</v>
      </c>
      <c r="E60" t="str">
        <f>_xll.RssFOPCode(A60,B60,IF(C60="C",1,IF(C60="P",2,"")),D60)</f>
        <v>マーケットスピード II にログインして「接続中」の状態に変更してから利用してください。</v>
      </c>
      <c r="F60" t="str">
        <f>_xll.RssFOPMarket($E60,F$1)</f>
        <v/>
      </c>
      <c r="G60" t="str">
        <f>_xll.RssFOPMarket($E60,G$1)</f>
        <v/>
      </c>
      <c r="H60" t="str">
        <f>_xll.RssFOPMarket($E60,H$1)</f>
        <v/>
      </c>
      <c r="I60" t="str">
        <f>_xll.RssFOPMarket($E60,I$1)</f>
        <v/>
      </c>
      <c r="J60" t="str">
        <f>_xll.RssFOPMarket($E60,J$1)</f>
        <v/>
      </c>
      <c r="K60" t="str">
        <f>_xll.RssFOPMarket($E60,K$1)</f>
        <v/>
      </c>
      <c r="L60" t="str">
        <f>_xll.RssFOPMarket($E60,L$1)</f>
        <v/>
      </c>
      <c r="M60" t="str">
        <f>_xll.RssFOPMarket($E60,M$1)</f>
        <v/>
      </c>
      <c r="N60" t="str">
        <f>_xll.RssFOPMarket($E60,N$1)</f>
        <v/>
      </c>
      <c r="O60" t="str">
        <f>_xll.RssFOPMarket($E60,O$1)</f>
        <v/>
      </c>
      <c r="P60" t="str">
        <f>_xll.RssFOPMarket($E60,P$1)</f>
        <v/>
      </c>
      <c r="Q60" t="str">
        <f>_xll.RssFOPMarket($E60,Q$1)</f>
        <v/>
      </c>
    </row>
    <row r="61" spans="1:17" x14ac:dyDescent="0.4">
      <c r="A61" t="str">
        <f t="shared" si="0"/>
        <v>N225MOP</v>
      </c>
      <c r="B61">
        <f t="shared" si="0"/>
        <v>202310</v>
      </c>
      <c r="C61" t="str">
        <f t="shared" si="0"/>
        <v>C</v>
      </c>
      <c r="D61">
        <f t="shared" si="1"/>
        <v>29125</v>
      </c>
      <c r="E61" t="str">
        <f>_xll.RssFOPCode(A61,B61,IF(C61="C",1,IF(C61="P",2,"")),D61)</f>
        <v>マーケットスピード II にログインして「接続中」の状態に変更してから利用してください。</v>
      </c>
      <c r="F61" t="str">
        <f>_xll.RssFOPMarket($E61,F$1)</f>
        <v/>
      </c>
      <c r="G61" t="str">
        <f>_xll.RssFOPMarket($E61,G$1)</f>
        <v/>
      </c>
      <c r="H61" t="str">
        <f>_xll.RssFOPMarket($E61,H$1)</f>
        <v/>
      </c>
      <c r="I61" t="str">
        <f>_xll.RssFOPMarket($E61,I$1)</f>
        <v/>
      </c>
      <c r="J61" t="str">
        <f>_xll.RssFOPMarket($E61,J$1)</f>
        <v/>
      </c>
      <c r="K61" t="str">
        <f>_xll.RssFOPMarket($E61,K$1)</f>
        <v/>
      </c>
      <c r="L61" t="str">
        <f>_xll.RssFOPMarket($E61,L$1)</f>
        <v/>
      </c>
      <c r="M61" t="str">
        <f>_xll.RssFOPMarket($E61,M$1)</f>
        <v/>
      </c>
      <c r="N61" t="str">
        <f>_xll.RssFOPMarket($E61,N$1)</f>
        <v/>
      </c>
      <c r="O61" t="str">
        <f>_xll.RssFOPMarket($E61,O$1)</f>
        <v/>
      </c>
      <c r="P61" t="str">
        <f>_xll.RssFOPMarket($E61,P$1)</f>
        <v/>
      </c>
      <c r="Q61" t="str">
        <f>_xll.RssFOPMarket($E61,Q$1)</f>
        <v/>
      </c>
    </row>
    <row r="62" spans="1:17" x14ac:dyDescent="0.4">
      <c r="A62" t="str">
        <f t="shared" si="0"/>
        <v>N225MOP</v>
      </c>
      <c r="B62">
        <f t="shared" si="0"/>
        <v>202310</v>
      </c>
      <c r="C62" t="str">
        <f t="shared" si="0"/>
        <v>C</v>
      </c>
      <c r="D62">
        <f t="shared" si="1"/>
        <v>29000</v>
      </c>
      <c r="E62" t="str">
        <f>_xll.RssFOPCode(A62,B62,IF(C62="C",1,IF(C62="P",2,"")),D62)</f>
        <v>マーケットスピード II にログインして「接続中」の状態に変更してから利用してください。</v>
      </c>
      <c r="F62" t="str">
        <f>_xll.RssFOPMarket($E62,F$1)</f>
        <v/>
      </c>
      <c r="G62" t="str">
        <f>_xll.RssFOPMarket($E62,G$1)</f>
        <v/>
      </c>
      <c r="H62" t="str">
        <f>_xll.RssFOPMarket($E62,H$1)</f>
        <v/>
      </c>
      <c r="I62" t="str">
        <f>_xll.RssFOPMarket($E62,I$1)</f>
        <v/>
      </c>
      <c r="J62" t="str">
        <f>_xll.RssFOPMarket($E62,J$1)</f>
        <v/>
      </c>
      <c r="K62" t="str">
        <f>_xll.RssFOPMarket($E62,K$1)</f>
        <v/>
      </c>
      <c r="L62" t="str">
        <f>_xll.RssFOPMarket($E62,L$1)</f>
        <v/>
      </c>
      <c r="M62" t="str">
        <f>_xll.RssFOPMarket($E62,M$1)</f>
        <v/>
      </c>
      <c r="N62" t="str">
        <f>_xll.RssFOPMarket($E62,N$1)</f>
        <v/>
      </c>
      <c r="O62" t="str">
        <f>_xll.RssFOPMarket($E62,O$1)</f>
        <v/>
      </c>
      <c r="P62" t="str">
        <f>_xll.RssFOPMarket($E62,P$1)</f>
        <v/>
      </c>
      <c r="Q62" t="str">
        <f>_xll.RssFOPMarket($E62,Q$1)</f>
        <v/>
      </c>
    </row>
    <row r="63" spans="1:17" x14ac:dyDescent="0.4">
      <c r="A63" t="str">
        <f t="shared" si="0"/>
        <v>N225MOP</v>
      </c>
      <c r="B63">
        <f t="shared" si="0"/>
        <v>202310</v>
      </c>
      <c r="C63" t="str">
        <f t="shared" si="0"/>
        <v>C</v>
      </c>
      <c r="D63">
        <f t="shared" si="1"/>
        <v>28875</v>
      </c>
      <c r="E63" t="str">
        <f>_xll.RssFOPCode(A63,B63,IF(C63="C",1,IF(C63="P",2,"")),D63)</f>
        <v>マーケットスピード II にログインして「接続中」の状態に変更してから利用してください。</v>
      </c>
      <c r="F63" t="str">
        <f>_xll.RssFOPMarket($E63,F$1)</f>
        <v/>
      </c>
      <c r="G63" t="str">
        <f>_xll.RssFOPMarket($E63,G$1)</f>
        <v/>
      </c>
      <c r="H63" t="str">
        <f>_xll.RssFOPMarket($E63,H$1)</f>
        <v/>
      </c>
      <c r="I63" t="str">
        <f>_xll.RssFOPMarket($E63,I$1)</f>
        <v/>
      </c>
      <c r="J63" t="str">
        <f>_xll.RssFOPMarket($E63,J$1)</f>
        <v/>
      </c>
      <c r="K63" t="str">
        <f>_xll.RssFOPMarket($E63,K$1)</f>
        <v/>
      </c>
      <c r="L63" t="str">
        <f>_xll.RssFOPMarket($E63,L$1)</f>
        <v/>
      </c>
      <c r="M63" t="str">
        <f>_xll.RssFOPMarket($E63,M$1)</f>
        <v/>
      </c>
      <c r="N63" t="str">
        <f>_xll.RssFOPMarket($E63,N$1)</f>
        <v/>
      </c>
      <c r="O63" t="str">
        <f>_xll.RssFOPMarket($E63,O$1)</f>
        <v/>
      </c>
      <c r="P63" t="str">
        <f>_xll.RssFOPMarket($E63,P$1)</f>
        <v/>
      </c>
      <c r="Q63" t="str">
        <f>_xll.RssFOPMarket($E63,Q$1)</f>
        <v/>
      </c>
    </row>
    <row r="64" spans="1:17" x14ac:dyDescent="0.4">
      <c r="A64" t="str">
        <f t="shared" si="0"/>
        <v>N225MOP</v>
      </c>
      <c r="B64">
        <f t="shared" si="0"/>
        <v>202310</v>
      </c>
      <c r="C64" t="str">
        <f t="shared" si="0"/>
        <v>C</v>
      </c>
      <c r="D64">
        <f t="shared" si="1"/>
        <v>28750</v>
      </c>
      <c r="E64" t="str">
        <f>_xll.RssFOPCode(A64,B64,IF(C64="C",1,IF(C64="P",2,"")),D64)</f>
        <v>マーケットスピード II にログインして「接続中」の状態に変更してから利用してください。</v>
      </c>
      <c r="F64" t="str">
        <f>_xll.RssFOPMarket($E64,F$1)</f>
        <v/>
      </c>
      <c r="G64" t="str">
        <f>_xll.RssFOPMarket($E64,G$1)</f>
        <v/>
      </c>
      <c r="H64" t="str">
        <f>_xll.RssFOPMarket($E64,H$1)</f>
        <v/>
      </c>
      <c r="I64" t="str">
        <f>_xll.RssFOPMarket($E64,I$1)</f>
        <v/>
      </c>
      <c r="J64" t="str">
        <f>_xll.RssFOPMarket($E64,J$1)</f>
        <v/>
      </c>
      <c r="K64" t="str">
        <f>_xll.RssFOPMarket($E64,K$1)</f>
        <v/>
      </c>
      <c r="L64" t="str">
        <f>_xll.RssFOPMarket($E64,L$1)</f>
        <v/>
      </c>
      <c r="M64" t="str">
        <f>_xll.RssFOPMarket($E64,M$1)</f>
        <v/>
      </c>
      <c r="N64" t="str">
        <f>_xll.RssFOPMarket($E64,N$1)</f>
        <v/>
      </c>
      <c r="O64" t="str">
        <f>_xll.RssFOPMarket($E64,O$1)</f>
        <v/>
      </c>
      <c r="P64" t="str">
        <f>_xll.RssFOPMarket($E64,P$1)</f>
        <v/>
      </c>
      <c r="Q64" t="str">
        <f>_xll.RssFOPMarket($E64,Q$1)</f>
        <v/>
      </c>
    </row>
    <row r="65" spans="1:17" x14ac:dyDescent="0.4">
      <c r="A65" t="str">
        <f t="shared" si="0"/>
        <v>N225MOP</v>
      </c>
      <c r="B65">
        <f t="shared" si="0"/>
        <v>202310</v>
      </c>
      <c r="C65" t="str">
        <f t="shared" si="0"/>
        <v>C</v>
      </c>
      <c r="D65">
        <f t="shared" si="1"/>
        <v>28625</v>
      </c>
      <c r="E65" t="str">
        <f>_xll.RssFOPCode(A65,B65,IF(C65="C",1,IF(C65="P",2,"")),D65)</f>
        <v>マーケットスピード II にログインして「接続中」の状態に変更してから利用してください。</v>
      </c>
      <c r="F65" t="str">
        <f>_xll.RssFOPMarket($E65,F$1)</f>
        <v/>
      </c>
      <c r="G65" t="str">
        <f>_xll.RssFOPMarket($E65,G$1)</f>
        <v/>
      </c>
      <c r="H65" t="str">
        <f>_xll.RssFOPMarket($E65,H$1)</f>
        <v/>
      </c>
      <c r="I65" t="str">
        <f>_xll.RssFOPMarket($E65,I$1)</f>
        <v/>
      </c>
      <c r="J65" t="str">
        <f>_xll.RssFOPMarket($E65,J$1)</f>
        <v/>
      </c>
      <c r="K65" t="str">
        <f>_xll.RssFOPMarket($E65,K$1)</f>
        <v/>
      </c>
      <c r="L65" t="str">
        <f>_xll.RssFOPMarket($E65,L$1)</f>
        <v/>
      </c>
      <c r="M65" t="str">
        <f>_xll.RssFOPMarket($E65,M$1)</f>
        <v/>
      </c>
      <c r="N65" t="str">
        <f>_xll.RssFOPMarket($E65,N$1)</f>
        <v/>
      </c>
      <c r="O65" t="str">
        <f>_xll.RssFOPMarket($E65,O$1)</f>
        <v/>
      </c>
      <c r="P65" t="str">
        <f>_xll.RssFOPMarket($E65,P$1)</f>
        <v/>
      </c>
      <c r="Q65" t="str">
        <f>_xll.RssFOPMarket($E65,Q$1)</f>
        <v/>
      </c>
    </row>
    <row r="66" spans="1:17" x14ac:dyDescent="0.4">
      <c r="A66" t="str">
        <f t="shared" si="0"/>
        <v>N225MOP</v>
      </c>
      <c r="B66">
        <f t="shared" si="0"/>
        <v>202310</v>
      </c>
      <c r="C66" t="str">
        <f t="shared" si="0"/>
        <v>C</v>
      </c>
      <c r="D66">
        <f t="shared" si="1"/>
        <v>28500</v>
      </c>
      <c r="E66" t="str">
        <f>_xll.RssFOPCode(A66,B66,IF(C66="C",1,IF(C66="P",2,"")),D66)</f>
        <v>マーケットスピード II にログインして「接続中」の状態に変更してから利用してください。</v>
      </c>
      <c r="F66" t="str">
        <f>_xll.RssFOPMarket($E66,F$1)</f>
        <v/>
      </c>
      <c r="G66" t="str">
        <f>_xll.RssFOPMarket($E66,G$1)</f>
        <v/>
      </c>
      <c r="H66" t="str">
        <f>_xll.RssFOPMarket($E66,H$1)</f>
        <v/>
      </c>
      <c r="I66" t="str">
        <f>_xll.RssFOPMarket($E66,I$1)</f>
        <v/>
      </c>
      <c r="J66" t="str">
        <f>_xll.RssFOPMarket($E66,J$1)</f>
        <v/>
      </c>
      <c r="K66" t="str">
        <f>_xll.RssFOPMarket($E66,K$1)</f>
        <v/>
      </c>
      <c r="L66" t="str">
        <f>_xll.RssFOPMarket($E66,L$1)</f>
        <v/>
      </c>
      <c r="M66" t="str">
        <f>_xll.RssFOPMarket($E66,M$1)</f>
        <v/>
      </c>
      <c r="N66" t="str">
        <f>_xll.RssFOPMarket($E66,N$1)</f>
        <v/>
      </c>
      <c r="O66" t="str">
        <f>_xll.RssFOPMarket($E66,O$1)</f>
        <v/>
      </c>
      <c r="P66" t="str">
        <f>_xll.RssFOPMarket($E66,P$1)</f>
        <v/>
      </c>
      <c r="Q66" t="str">
        <f>_xll.RssFOPMarket($E66,Q$1)</f>
        <v/>
      </c>
    </row>
    <row r="67" spans="1:17" x14ac:dyDescent="0.4">
      <c r="A67" t="str">
        <f t="shared" si="0"/>
        <v>N225MOP</v>
      </c>
      <c r="B67">
        <f t="shared" si="0"/>
        <v>202310</v>
      </c>
      <c r="C67" t="str">
        <f t="shared" si="0"/>
        <v>C</v>
      </c>
      <c r="D67">
        <f t="shared" si="1"/>
        <v>28375</v>
      </c>
      <c r="E67" t="str">
        <f>_xll.RssFOPCode(A67,B67,IF(C67="C",1,IF(C67="P",2,"")),D67)</f>
        <v>マーケットスピード II にログインして「接続中」の状態に変更してから利用してください。</v>
      </c>
      <c r="F67" t="str">
        <f>_xll.RssFOPMarket($E67,F$1)</f>
        <v/>
      </c>
      <c r="G67" t="str">
        <f>_xll.RssFOPMarket($E67,G$1)</f>
        <v/>
      </c>
      <c r="H67" t="str">
        <f>_xll.RssFOPMarket($E67,H$1)</f>
        <v/>
      </c>
      <c r="I67" t="str">
        <f>_xll.RssFOPMarket($E67,I$1)</f>
        <v/>
      </c>
      <c r="J67" t="str">
        <f>_xll.RssFOPMarket($E67,J$1)</f>
        <v/>
      </c>
      <c r="K67" t="str">
        <f>_xll.RssFOPMarket($E67,K$1)</f>
        <v/>
      </c>
      <c r="L67" t="str">
        <f>_xll.RssFOPMarket($E67,L$1)</f>
        <v/>
      </c>
      <c r="M67" t="str">
        <f>_xll.RssFOPMarket($E67,M$1)</f>
        <v/>
      </c>
      <c r="N67" t="str">
        <f>_xll.RssFOPMarket($E67,N$1)</f>
        <v/>
      </c>
      <c r="O67" t="str">
        <f>_xll.RssFOPMarket($E67,O$1)</f>
        <v/>
      </c>
      <c r="P67" t="str">
        <f>_xll.RssFOPMarket($E67,P$1)</f>
        <v/>
      </c>
      <c r="Q67" t="str">
        <f>_xll.RssFOPMarket($E67,Q$1)</f>
        <v/>
      </c>
    </row>
    <row r="68" spans="1:17" x14ac:dyDescent="0.4">
      <c r="A68" t="str">
        <f>A67</f>
        <v>N225MOP</v>
      </c>
      <c r="B68">
        <f>B67</f>
        <v>202310</v>
      </c>
      <c r="C68" t="str">
        <f>C67</f>
        <v>C</v>
      </c>
      <c r="D68">
        <f>D67-125</f>
        <v>28250</v>
      </c>
      <c r="E68" t="str">
        <f>_xll.RssFOPCode(A68,B68,IF(C68="C",1,IF(C68="P",2,"")),D68)</f>
        <v>マーケットスピード II にログインして「接続中」の状態に変更してから利用してください。</v>
      </c>
      <c r="F68" t="str">
        <f>_xll.RssFOPMarket($E68,F$1)</f>
        <v/>
      </c>
      <c r="G68" t="str">
        <f>_xll.RssFOPMarket($E68,G$1)</f>
        <v/>
      </c>
      <c r="H68" t="str">
        <f>_xll.RssFOPMarket($E68,H$1)</f>
        <v/>
      </c>
      <c r="I68" t="str">
        <f>_xll.RssFOPMarket($E68,I$1)</f>
        <v/>
      </c>
      <c r="J68" t="str">
        <f>_xll.RssFOPMarket($E68,J$1)</f>
        <v/>
      </c>
      <c r="K68" t="str">
        <f>_xll.RssFOPMarket($E68,K$1)</f>
        <v/>
      </c>
      <c r="L68" t="str">
        <f>_xll.RssFOPMarket($E68,L$1)</f>
        <v/>
      </c>
      <c r="M68" t="str">
        <f>_xll.RssFOPMarket($E68,M$1)</f>
        <v/>
      </c>
      <c r="N68" t="str">
        <f>_xll.RssFOPMarket($E68,N$1)</f>
        <v/>
      </c>
      <c r="O68" t="str">
        <f>_xll.RssFOPMarket($E68,O$1)</f>
        <v/>
      </c>
      <c r="P68" t="str">
        <f>_xll.RssFOPMarket($E68,P$1)</f>
        <v/>
      </c>
      <c r="Q68" t="str">
        <f>_xll.RssFOPMarket($E68,Q$1)</f>
        <v/>
      </c>
    </row>
    <row r="101" spans="1:17" x14ac:dyDescent="0.4">
      <c r="A101" t="s">
        <v>23</v>
      </c>
      <c r="B101" t="s">
        <v>24</v>
      </c>
      <c r="C101" t="s">
        <v>13</v>
      </c>
      <c r="D101" t="s">
        <v>25</v>
      </c>
      <c r="E101" t="s">
        <v>26</v>
      </c>
      <c r="F101" t="s">
        <v>27</v>
      </c>
      <c r="G101" t="s">
        <v>28</v>
      </c>
      <c r="H101" t="s">
        <v>29</v>
      </c>
      <c r="I101" t="s">
        <v>30</v>
      </c>
      <c r="J101" t="s">
        <v>31</v>
      </c>
      <c r="K101" t="s">
        <v>32</v>
      </c>
      <c r="L101" t="s">
        <v>33</v>
      </c>
      <c r="M101" t="s">
        <v>34</v>
      </c>
      <c r="N101" t="s">
        <v>35</v>
      </c>
      <c r="O101" t="s">
        <v>36</v>
      </c>
      <c r="P101" t="s">
        <v>37</v>
      </c>
      <c r="Q101" t="s">
        <v>38</v>
      </c>
    </row>
    <row r="102" spans="1:17" x14ac:dyDescent="0.4">
      <c r="A102" t="s">
        <v>14</v>
      </c>
      <c r="B102">
        <v>202310</v>
      </c>
      <c r="C102" t="s">
        <v>16</v>
      </c>
      <c r="D102">
        <v>36500</v>
      </c>
      <c r="E102" t="s">
        <v>90</v>
      </c>
    </row>
    <row r="103" spans="1:17" x14ac:dyDescent="0.4">
      <c r="A103" t="s">
        <v>14</v>
      </c>
      <c r="B103">
        <v>202310</v>
      </c>
      <c r="C103" t="s">
        <v>16</v>
      </c>
      <c r="D103">
        <v>36375</v>
      </c>
      <c r="E103" t="s">
        <v>90</v>
      </c>
    </row>
    <row r="104" spans="1:17" x14ac:dyDescent="0.4">
      <c r="A104" t="s">
        <v>14</v>
      </c>
      <c r="B104">
        <v>202310</v>
      </c>
      <c r="C104" t="s">
        <v>16</v>
      </c>
      <c r="D104">
        <v>36250</v>
      </c>
      <c r="E104" t="s">
        <v>90</v>
      </c>
    </row>
    <row r="105" spans="1:17" x14ac:dyDescent="0.4">
      <c r="A105" t="s">
        <v>14</v>
      </c>
      <c r="B105">
        <v>202310</v>
      </c>
      <c r="C105" t="s">
        <v>16</v>
      </c>
      <c r="D105">
        <v>36125</v>
      </c>
      <c r="E105" t="s">
        <v>90</v>
      </c>
    </row>
    <row r="106" spans="1:17" x14ac:dyDescent="0.4">
      <c r="A106" t="s">
        <v>14</v>
      </c>
      <c r="B106">
        <v>202310</v>
      </c>
      <c r="C106" t="s">
        <v>16</v>
      </c>
      <c r="D106">
        <v>36000</v>
      </c>
      <c r="E106" t="s">
        <v>90</v>
      </c>
    </row>
    <row r="107" spans="1:17" x14ac:dyDescent="0.4">
      <c r="A107" t="s">
        <v>14</v>
      </c>
      <c r="B107">
        <v>202310</v>
      </c>
      <c r="C107" t="s">
        <v>16</v>
      </c>
      <c r="D107">
        <v>35875</v>
      </c>
      <c r="E107" t="s">
        <v>90</v>
      </c>
    </row>
    <row r="108" spans="1:17" x14ac:dyDescent="0.4">
      <c r="A108" t="s">
        <v>14</v>
      </c>
      <c r="B108">
        <v>202310</v>
      </c>
      <c r="C108" t="s">
        <v>16</v>
      </c>
      <c r="D108">
        <v>35750</v>
      </c>
      <c r="E108" t="s">
        <v>90</v>
      </c>
    </row>
    <row r="109" spans="1:17" x14ac:dyDescent="0.4">
      <c r="A109" t="s">
        <v>14</v>
      </c>
      <c r="B109">
        <v>202310</v>
      </c>
      <c r="C109" t="s">
        <v>16</v>
      </c>
      <c r="D109">
        <v>35625</v>
      </c>
      <c r="E109" t="s">
        <v>90</v>
      </c>
    </row>
    <row r="110" spans="1:17" x14ac:dyDescent="0.4">
      <c r="A110" t="s">
        <v>14</v>
      </c>
      <c r="B110">
        <v>202310</v>
      </c>
      <c r="C110" t="s">
        <v>16</v>
      </c>
      <c r="D110">
        <v>35500</v>
      </c>
      <c r="E110" t="s">
        <v>90</v>
      </c>
    </row>
    <row r="111" spans="1:17" x14ac:dyDescent="0.4">
      <c r="A111" t="s">
        <v>14</v>
      </c>
      <c r="B111">
        <v>202310</v>
      </c>
      <c r="C111" t="s">
        <v>16</v>
      </c>
      <c r="D111">
        <v>35375</v>
      </c>
      <c r="E111" t="s">
        <v>90</v>
      </c>
    </row>
    <row r="112" spans="1:17" x14ac:dyDescent="0.4">
      <c r="A112" t="s">
        <v>14</v>
      </c>
      <c r="B112">
        <v>202310</v>
      </c>
      <c r="C112" t="s">
        <v>16</v>
      </c>
      <c r="D112">
        <v>35250</v>
      </c>
      <c r="E112" t="s">
        <v>90</v>
      </c>
    </row>
    <row r="113" spans="1:5" x14ac:dyDescent="0.4">
      <c r="A113" t="s">
        <v>14</v>
      </c>
      <c r="B113">
        <v>202310</v>
      </c>
      <c r="C113" t="s">
        <v>16</v>
      </c>
      <c r="D113">
        <v>35125</v>
      </c>
      <c r="E113" t="s">
        <v>90</v>
      </c>
    </row>
    <row r="114" spans="1:5" x14ac:dyDescent="0.4">
      <c r="A114" t="s">
        <v>14</v>
      </c>
      <c r="B114">
        <v>202310</v>
      </c>
      <c r="C114" t="s">
        <v>16</v>
      </c>
      <c r="D114">
        <v>35000</v>
      </c>
      <c r="E114" t="s">
        <v>90</v>
      </c>
    </row>
    <row r="115" spans="1:5" x14ac:dyDescent="0.4">
      <c r="A115" t="s">
        <v>14</v>
      </c>
      <c r="B115">
        <v>202310</v>
      </c>
      <c r="C115" t="s">
        <v>16</v>
      </c>
      <c r="D115">
        <v>34875</v>
      </c>
      <c r="E115" t="s">
        <v>90</v>
      </c>
    </row>
    <row r="116" spans="1:5" x14ac:dyDescent="0.4">
      <c r="A116" t="s">
        <v>14</v>
      </c>
      <c r="B116">
        <v>202310</v>
      </c>
      <c r="C116" t="s">
        <v>16</v>
      </c>
      <c r="D116">
        <v>34750</v>
      </c>
      <c r="E116" t="s">
        <v>90</v>
      </c>
    </row>
    <row r="117" spans="1:5" x14ac:dyDescent="0.4">
      <c r="A117" t="s">
        <v>14</v>
      </c>
      <c r="B117">
        <v>202310</v>
      </c>
      <c r="C117" t="s">
        <v>16</v>
      </c>
      <c r="D117">
        <v>34625</v>
      </c>
      <c r="E117" t="s">
        <v>90</v>
      </c>
    </row>
    <row r="118" spans="1:5" x14ac:dyDescent="0.4">
      <c r="A118" t="s">
        <v>14</v>
      </c>
      <c r="B118">
        <v>202310</v>
      </c>
      <c r="C118" t="s">
        <v>16</v>
      </c>
      <c r="D118">
        <v>34500</v>
      </c>
      <c r="E118" t="s">
        <v>90</v>
      </c>
    </row>
    <row r="119" spans="1:5" x14ac:dyDescent="0.4">
      <c r="A119" t="s">
        <v>14</v>
      </c>
      <c r="B119">
        <v>202310</v>
      </c>
      <c r="C119" t="s">
        <v>16</v>
      </c>
      <c r="D119">
        <v>34375</v>
      </c>
      <c r="E119" t="s">
        <v>90</v>
      </c>
    </row>
    <row r="120" spans="1:5" x14ac:dyDescent="0.4">
      <c r="A120" t="s">
        <v>14</v>
      </c>
      <c r="B120">
        <v>202310</v>
      </c>
      <c r="C120" t="s">
        <v>16</v>
      </c>
      <c r="D120">
        <v>34250</v>
      </c>
      <c r="E120" t="s">
        <v>90</v>
      </c>
    </row>
    <row r="121" spans="1:5" x14ac:dyDescent="0.4">
      <c r="A121" t="s">
        <v>14</v>
      </c>
      <c r="B121">
        <v>202310</v>
      </c>
      <c r="C121" t="s">
        <v>16</v>
      </c>
      <c r="D121">
        <v>34125</v>
      </c>
      <c r="E121" t="s">
        <v>90</v>
      </c>
    </row>
    <row r="122" spans="1:5" x14ac:dyDescent="0.4">
      <c r="A122" t="s">
        <v>14</v>
      </c>
      <c r="B122">
        <v>202310</v>
      </c>
      <c r="C122" t="s">
        <v>16</v>
      </c>
      <c r="D122">
        <v>34000</v>
      </c>
      <c r="E122" t="s">
        <v>90</v>
      </c>
    </row>
    <row r="123" spans="1:5" x14ac:dyDescent="0.4">
      <c r="A123" t="s">
        <v>14</v>
      </c>
      <c r="B123">
        <v>202310</v>
      </c>
      <c r="C123" t="s">
        <v>16</v>
      </c>
      <c r="D123">
        <v>33875</v>
      </c>
      <c r="E123" t="s">
        <v>90</v>
      </c>
    </row>
    <row r="124" spans="1:5" x14ac:dyDescent="0.4">
      <c r="A124" t="s">
        <v>14</v>
      </c>
      <c r="B124">
        <v>202310</v>
      </c>
      <c r="C124" t="s">
        <v>16</v>
      </c>
      <c r="D124">
        <v>33750</v>
      </c>
      <c r="E124" t="s">
        <v>90</v>
      </c>
    </row>
    <row r="125" spans="1:5" x14ac:dyDescent="0.4">
      <c r="A125" t="s">
        <v>14</v>
      </c>
      <c r="B125">
        <v>202310</v>
      </c>
      <c r="C125" t="s">
        <v>16</v>
      </c>
      <c r="D125">
        <v>33625</v>
      </c>
      <c r="E125" t="s">
        <v>90</v>
      </c>
    </row>
    <row r="126" spans="1:5" x14ac:dyDescent="0.4">
      <c r="A126" t="s">
        <v>14</v>
      </c>
      <c r="B126">
        <v>202310</v>
      </c>
      <c r="C126" t="s">
        <v>16</v>
      </c>
      <c r="D126">
        <v>33500</v>
      </c>
      <c r="E126" t="s">
        <v>90</v>
      </c>
    </row>
    <row r="127" spans="1:5" x14ac:dyDescent="0.4">
      <c r="A127" t="s">
        <v>14</v>
      </c>
      <c r="B127">
        <v>202310</v>
      </c>
      <c r="C127" t="s">
        <v>16</v>
      </c>
      <c r="D127">
        <v>33375</v>
      </c>
      <c r="E127" t="s">
        <v>90</v>
      </c>
    </row>
    <row r="128" spans="1:5" x14ac:dyDescent="0.4">
      <c r="A128" t="s">
        <v>14</v>
      </c>
      <c r="B128">
        <v>202310</v>
      </c>
      <c r="C128" t="s">
        <v>16</v>
      </c>
      <c r="D128">
        <v>33250</v>
      </c>
      <c r="E128" t="s">
        <v>90</v>
      </c>
    </row>
    <row r="129" spans="1:6" x14ac:dyDescent="0.4">
      <c r="A129" t="s">
        <v>14</v>
      </c>
      <c r="B129">
        <v>202310</v>
      </c>
      <c r="C129" t="s">
        <v>16</v>
      </c>
      <c r="D129">
        <v>33125</v>
      </c>
      <c r="E129" t="s">
        <v>90</v>
      </c>
    </row>
    <row r="130" spans="1:6" x14ac:dyDescent="0.4">
      <c r="A130" t="s">
        <v>14</v>
      </c>
      <c r="B130">
        <v>202310</v>
      </c>
      <c r="C130" t="s">
        <v>16</v>
      </c>
      <c r="D130">
        <v>33000</v>
      </c>
      <c r="E130" t="s">
        <v>90</v>
      </c>
      <c r="F130" s="2"/>
    </row>
    <row r="131" spans="1:6" x14ac:dyDescent="0.4">
      <c r="A131" t="s">
        <v>14</v>
      </c>
      <c r="B131">
        <v>202310</v>
      </c>
      <c r="C131" t="s">
        <v>16</v>
      </c>
      <c r="D131">
        <v>32875</v>
      </c>
      <c r="E131" t="s">
        <v>90</v>
      </c>
    </row>
    <row r="132" spans="1:6" x14ac:dyDescent="0.4">
      <c r="A132" t="s">
        <v>14</v>
      </c>
      <c r="B132">
        <v>202310</v>
      </c>
      <c r="C132" t="s">
        <v>16</v>
      </c>
      <c r="D132">
        <v>32750</v>
      </c>
      <c r="E132" t="s">
        <v>90</v>
      </c>
    </row>
    <row r="133" spans="1:6" x14ac:dyDescent="0.4">
      <c r="A133" t="s">
        <v>14</v>
      </c>
      <c r="B133">
        <v>202310</v>
      </c>
      <c r="C133" t="s">
        <v>16</v>
      </c>
      <c r="D133">
        <v>32625</v>
      </c>
      <c r="E133" t="s">
        <v>90</v>
      </c>
      <c r="F133" s="2"/>
    </row>
    <row r="134" spans="1:6" x14ac:dyDescent="0.4">
      <c r="A134" t="s">
        <v>14</v>
      </c>
      <c r="B134">
        <v>202310</v>
      </c>
      <c r="C134" t="s">
        <v>16</v>
      </c>
      <c r="D134">
        <v>32500</v>
      </c>
      <c r="E134" t="s">
        <v>90</v>
      </c>
      <c r="F134" s="2"/>
    </row>
    <row r="135" spans="1:6" x14ac:dyDescent="0.4">
      <c r="A135" t="s">
        <v>14</v>
      </c>
      <c r="B135">
        <v>202310</v>
      </c>
      <c r="C135" t="s">
        <v>16</v>
      </c>
      <c r="D135">
        <v>32375</v>
      </c>
      <c r="E135" t="s">
        <v>90</v>
      </c>
    </row>
    <row r="136" spans="1:6" x14ac:dyDescent="0.4">
      <c r="A136" t="s">
        <v>14</v>
      </c>
      <c r="B136">
        <v>202310</v>
      </c>
      <c r="C136" t="s">
        <v>16</v>
      </c>
      <c r="D136">
        <v>32250</v>
      </c>
      <c r="E136" t="s">
        <v>90</v>
      </c>
    </row>
    <row r="137" spans="1:6" x14ac:dyDescent="0.4">
      <c r="A137" t="s">
        <v>14</v>
      </c>
      <c r="B137">
        <v>202310</v>
      </c>
      <c r="C137" t="s">
        <v>16</v>
      </c>
      <c r="D137">
        <v>32125</v>
      </c>
      <c r="E137" t="s">
        <v>90</v>
      </c>
    </row>
    <row r="138" spans="1:6" x14ac:dyDescent="0.4">
      <c r="A138" t="s">
        <v>14</v>
      </c>
      <c r="B138">
        <v>202310</v>
      </c>
      <c r="C138" t="s">
        <v>15</v>
      </c>
      <c r="D138">
        <v>32000</v>
      </c>
      <c r="E138" t="s">
        <v>90</v>
      </c>
      <c r="F138" s="2"/>
    </row>
    <row r="139" spans="1:6" x14ac:dyDescent="0.4">
      <c r="A139" t="s">
        <v>14</v>
      </c>
      <c r="B139">
        <v>202310</v>
      </c>
      <c r="C139" t="s">
        <v>15</v>
      </c>
      <c r="D139">
        <v>31875</v>
      </c>
      <c r="E139" t="s">
        <v>90</v>
      </c>
      <c r="F139" s="2"/>
    </row>
    <row r="140" spans="1:6" x14ac:dyDescent="0.4">
      <c r="A140" t="s">
        <v>14</v>
      </c>
      <c r="B140">
        <v>202310</v>
      </c>
      <c r="C140" t="s">
        <v>15</v>
      </c>
      <c r="D140">
        <v>31750</v>
      </c>
      <c r="E140" t="s">
        <v>90</v>
      </c>
      <c r="F140" s="2"/>
    </row>
    <row r="141" spans="1:6" x14ac:dyDescent="0.4">
      <c r="A141" t="s">
        <v>14</v>
      </c>
      <c r="B141">
        <v>202310</v>
      </c>
      <c r="C141" t="s">
        <v>15</v>
      </c>
      <c r="D141">
        <v>31625</v>
      </c>
      <c r="E141" t="s">
        <v>90</v>
      </c>
      <c r="F141" s="2"/>
    </row>
    <row r="142" spans="1:6" x14ac:dyDescent="0.4">
      <c r="A142" t="s">
        <v>14</v>
      </c>
      <c r="B142">
        <v>202310</v>
      </c>
      <c r="C142" t="s">
        <v>15</v>
      </c>
      <c r="D142">
        <v>31500</v>
      </c>
      <c r="E142" t="s">
        <v>90</v>
      </c>
      <c r="F142" s="2"/>
    </row>
    <row r="143" spans="1:6" x14ac:dyDescent="0.4">
      <c r="A143" t="s">
        <v>14</v>
      </c>
      <c r="B143">
        <v>202310</v>
      </c>
      <c r="C143" t="s">
        <v>15</v>
      </c>
      <c r="D143">
        <v>31375</v>
      </c>
      <c r="E143" t="s">
        <v>90</v>
      </c>
      <c r="F143" s="2"/>
    </row>
    <row r="144" spans="1:6" x14ac:dyDescent="0.4">
      <c r="A144" t="s">
        <v>14</v>
      </c>
      <c r="B144">
        <v>202310</v>
      </c>
      <c r="C144" t="s">
        <v>15</v>
      </c>
      <c r="D144">
        <v>31250</v>
      </c>
      <c r="E144" t="s">
        <v>90</v>
      </c>
      <c r="F144" s="2"/>
    </row>
    <row r="145" spans="1:6" x14ac:dyDescent="0.4">
      <c r="A145" t="s">
        <v>14</v>
      </c>
      <c r="B145">
        <v>202310</v>
      </c>
      <c r="C145" t="s">
        <v>15</v>
      </c>
      <c r="D145">
        <v>31125</v>
      </c>
      <c r="E145" t="s">
        <v>90</v>
      </c>
      <c r="F145" s="2"/>
    </row>
    <row r="146" spans="1:6" x14ac:dyDescent="0.4">
      <c r="A146" t="s">
        <v>14</v>
      </c>
      <c r="B146">
        <v>202310</v>
      </c>
      <c r="C146" t="s">
        <v>15</v>
      </c>
      <c r="D146">
        <v>31000</v>
      </c>
      <c r="E146" t="s">
        <v>90</v>
      </c>
      <c r="F146" s="2"/>
    </row>
    <row r="147" spans="1:6" x14ac:dyDescent="0.4">
      <c r="A147" t="s">
        <v>14</v>
      </c>
      <c r="B147">
        <v>202310</v>
      </c>
      <c r="C147" t="s">
        <v>15</v>
      </c>
      <c r="D147">
        <v>30875</v>
      </c>
      <c r="E147" t="s">
        <v>90</v>
      </c>
      <c r="F147" s="2"/>
    </row>
    <row r="148" spans="1:6" x14ac:dyDescent="0.4">
      <c r="A148" t="s">
        <v>14</v>
      </c>
      <c r="B148">
        <v>202310</v>
      </c>
      <c r="C148" t="s">
        <v>15</v>
      </c>
      <c r="D148">
        <v>30750</v>
      </c>
      <c r="E148" t="s">
        <v>90</v>
      </c>
      <c r="F148" s="2"/>
    </row>
    <row r="149" spans="1:6" x14ac:dyDescent="0.4">
      <c r="A149" t="s">
        <v>14</v>
      </c>
      <c r="B149">
        <v>202310</v>
      </c>
      <c r="C149" t="s">
        <v>15</v>
      </c>
      <c r="D149">
        <v>30625</v>
      </c>
      <c r="E149" t="s">
        <v>90</v>
      </c>
    </row>
    <row r="150" spans="1:6" x14ac:dyDescent="0.4">
      <c r="A150" t="s">
        <v>14</v>
      </c>
      <c r="B150">
        <v>202310</v>
      </c>
      <c r="C150" t="s">
        <v>15</v>
      </c>
      <c r="D150">
        <v>30500</v>
      </c>
      <c r="E150" t="s">
        <v>90</v>
      </c>
      <c r="F150" s="2"/>
    </row>
    <row r="151" spans="1:6" x14ac:dyDescent="0.4">
      <c r="A151" t="s">
        <v>14</v>
      </c>
      <c r="B151">
        <v>202310</v>
      </c>
      <c r="C151" t="s">
        <v>15</v>
      </c>
      <c r="D151">
        <v>30375</v>
      </c>
      <c r="E151" t="s">
        <v>90</v>
      </c>
    </row>
    <row r="152" spans="1:6" x14ac:dyDescent="0.4">
      <c r="A152" t="s">
        <v>14</v>
      </c>
      <c r="B152">
        <v>202310</v>
      </c>
      <c r="C152" t="s">
        <v>15</v>
      </c>
      <c r="D152">
        <v>30250</v>
      </c>
      <c r="E152" t="s">
        <v>90</v>
      </c>
    </row>
    <row r="153" spans="1:6" x14ac:dyDescent="0.4">
      <c r="A153" t="s">
        <v>14</v>
      </c>
      <c r="B153">
        <v>202310</v>
      </c>
      <c r="C153" t="s">
        <v>15</v>
      </c>
      <c r="D153">
        <v>30125</v>
      </c>
      <c r="E153" t="s">
        <v>90</v>
      </c>
    </row>
    <row r="154" spans="1:6" x14ac:dyDescent="0.4">
      <c r="A154" t="s">
        <v>14</v>
      </c>
      <c r="B154">
        <v>202310</v>
      </c>
      <c r="C154" t="s">
        <v>15</v>
      </c>
      <c r="D154">
        <v>30000</v>
      </c>
      <c r="E154" t="s">
        <v>90</v>
      </c>
    </row>
    <row r="155" spans="1:6" x14ac:dyDescent="0.4">
      <c r="A155" t="s">
        <v>14</v>
      </c>
      <c r="B155">
        <v>202310</v>
      </c>
      <c r="C155" t="s">
        <v>15</v>
      </c>
      <c r="D155">
        <v>29875</v>
      </c>
      <c r="E155" t="s">
        <v>90</v>
      </c>
    </row>
    <row r="156" spans="1:6" x14ac:dyDescent="0.4">
      <c r="A156" t="s">
        <v>14</v>
      </c>
      <c r="B156">
        <v>202310</v>
      </c>
      <c r="C156" t="s">
        <v>15</v>
      </c>
      <c r="D156">
        <v>29750</v>
      </c>
      <c r="E156" t="s">
        <v>90</v>
      </c>
    </row>
    <row r="157" spans="1:6" x14ac:dyDescent="0.4">
      <c r="A157" t="s">
        <v>14</v>
      </c>
      <c r="B157">
        <v>202310</v>
      </c>
      <c r="C157" t="s">
        <v>15</v>
      </c>
      <c r="D157">
        <v>29625</v>
      </c>
      <c r="E157" t="s">
        <v>90</v>
      </c>
    </row>
    <row r="158" spans="1:6" x14ac:dyDescent="0.4">
      <c r="A158" t="s">
        <v>14</v>
      </c>
      <c r="B158">
        <v>202310</v>
      </c>
      <c r="C158" t="s">
        <v>15</v>
      </c>
      <c r="D158">
        <v>29500</v>
      </c>
      <c r="E158" t="s">
        <v>90</v>
      </c>
    </row>
    <row r="159" spans="1:6" x14ac:dyDescent="0.4">
      <c r="A159" t="s">
        <v>14</v>
      </c>
      <c r="B159">
        <v>202310</v>
      </c>
      <c r="C159" t="s">
        <v>15</v>
      </c>
      <c r="D159">
        <v>29375</v>
      </c>
      <c r="E159" t="s">
        <v>90</v>
      </c>
    </row>
    <row r="160" spans="1:6" x14ac:dyDescent="0.4">
      <c r="A160" t="s">
        <v>14</v>
      </c>
      <c r="B160">
        <v>202310</v>
      </c>
      <c r="C160" t="s">
        <v>15</v>
      </c>
      <c r="D160">
        <v>29250</v>
      </c>
      <c r="E160" t="s">
        <v>90</v>
      </c>
    </row>
    <row r="161" spans="1:5" x14ac:dyDescent="0.4">
      <c r="A161" t="s">
        <v>14</v>
      </c>
      <c r="B161">
        <v>202310</v>
      </c>
      <c r="C161" t="s">
        <v>15</v>
      </c>
      <c r="D161">
        <v>29125</v>
      </c>
      <c r="E161" t="s">
        <v>90</v>
      </c>
    </row>
    <row r="162" spans="1:5" x14ac:dyDescent="0.4">
      <c r="A162" t="s">
        <v>14</v>
      </c>
      <c r="B162">
        <v>202310</v>
      </c>
      <c r="C162" t="s">
        <v>15</v>
      </c>
      <c r="D162">
        <v>29000</v>
      </c>
      <c r="E162" t="s">
        <v>90</v>
      </c>
    </row>
    <row r="163" spans="1:5" x14ac:dyDescent="0.4">
      <c r="A163" t="s">
        <v>14</v>
      </c>
      <c r="B163">
        <v>202310</v>
      </c>
      <c r="C163" t="s">
        <v>15</v>
      </c>
      <c r="D163">
        <v>28875</v>
      </c>
      <c r="E163" t="s">
        <v>90</v>
      </c>
    </row>
    <row r="164" spans="1:5" x14ac:dyDescent="0.4">
      <c r="A164" t="s">
        <v>14</v>
      </c>
      <c r="B164">
        <v>202310</v>
      </c>
      <c r="C164" t="s">
        <v>15</v>
      </c>
      <c r="D164">
        <v>28750</v>
      </c>
      <c r="E164" t="s">
        <v>90</v>
      </c>
    </row>
    <row r="165" spans="1:5" x14ac:dyDescent="0.4">
      <c r="A165" t="s">
        <v>14</v>
      </c>
      <c r="B165">
        <v>202310</v>
      </c>
      <c r="C165" t="s">
        <v>15</v>
      </c>
      <c r="D165">
        <v>28625</v>
      </c>
      <c r="E165" t="s">
        <v>90</v>
      </c>
    </row>
    <row r="166" spans="1:5" x14ac:dyDescent="0.4">
      <c r="A166" t="s">
        <v>14</v>
      </c>
      <c r="B166">
        <v>202310</v>
      </c>
      <c r="C166" t="s">
        <v>15</v>
      </c>
      <c r="D166">
        <v>28500</v>
      </c>
      <c r="E166" t="s">
        <v>90</v>
      </c>
    </row>
    <row r="167" spans="1:5" x14ac:dyDescent="0.4">
      <c r="A167" t="s">
        <v>14</v>
      </c>
      <c r="B167">
        <v>202310</v>
      </c>
      <c r="C167" t="s">
        <v>15</v>
      </c>
      <c r="D167">
        <v>28375</v>
      </c>
      <c r="E167" t="s">
        <v>90</v>
      </c>
    </row>
    <row r="168" spans="1:5" x14ac:dyDescent="0.4">
      <c r="A168" t="s">
        <v>14</v>
      </c>
      <c r="B168">
        <v>202310</v>
      </c>
      <c r="C168" t="s">
        <v>15</v>
      </c>
      <c r="D168">
        <v>28250</v>
      </c>
      <c r="E168" t="s">
        <v>90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2E950-C86B-47DC-BA93-41FD98102656}">
  <sheetPr codeName="Sheet5"/>
  <dimension ref="A1:Q168"/>
  <sheetViews>
    <sheetView workbookViewId="0">
      <pane ySplit="1" topLeftCell="A112" activePane="bottomLeft" state="frozen"/>
      <selection sqref="A1:XFD1048576"/>
      <selection pane="bottomLeft" activeCell="Q1" sqref="Q1"/>
    </sheetView>
  </sheetViews>
  <sheetFormatPr defaultRowHeight="18.75" x14ac:dyDescent="0.4"/>
  <cols>
    <col min="1" max="1" width="10.25" bestFit="1" customWidth="1"/>
    <col min="2" max="2" width="9.625" bestFit="1" customWidth="1"/>
    <col min="3" max="3" width="4.875" bestFit="1" customWidth="1"/>
    <col min="4" max="4" width="9" bestFit="1" customWidth="1"/>
    <col min="5" max="5" width="11" bestFit="1" customWidth="1"/>
  </cols>
  <sheetData>
    <row r="1" spans="1:17" x14ac:dyDescent="0.4">
      <c r="A1" t="s">
        <v>11</v>
      </c>
      <c r="B1" t="s">
        <v>12</v>
      </c>
      <c r="C1" t="s">
        <v>13</v>
      </c>
      <c r="D1" t="s">
        <v>0</v>
      </c>
      <c r="E1" t="s">
        <v>17</v>
      </c>
      <c r="F1" t="s">
        <v>2</v>
      </c>
      <c r="G1" t="s">
        <v>1</v>
      </c>
      <c r="H1" s="1" t="s">
        <v>21</v>
      </c>
      <c r="I1" t="s">
        <v>9</v>
      </c>
      <c r="J1" t="s">
        <v>10</v>
      </c>
      <c r="K1" t="s">
        <v>3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s="1" t="s">
        <v>22</v>
      </c>
    </row>
    <row r="2" spans="1:17" x14ac:dyDescent="0.4">
      <c r="A2" t="s">
        <v>14</v>
      </c>
      <c r="B2" t="s">
        <v>18</v>
      </c>
      <c r="C2" t="s">
        <v>15</v>
      </c>
      <c r="D2">
        <v>36500</v>
      </c>
      <c r="E2" t="str">
        <f>_xll.RssFOPCode(A2,B2,IF(C2="C",1,IF(C2="P",2,"")),D2)</f>
        <v>マーケットスピード II にログインして「接続中」の状態に変更してから利用してください。</v>
      </c>
      <c r="F2" t="str">
        <f>_xll.RssFOPMarket($E2,F$1)</f>
        <v/>
      </c>
      <c r="G2" t="str">
        <f>_xll.RssFOPMarket($E2,G$1)</f>
        <v/>
      </c>
      <c r="H2" t="str">
        <f>_xll.RssFOPMarket($E2,H$1)</f>
        <v/>
      </c>
      <c r="I2" t="str">
        <f>_xll.RssFOPMarket($E2,I$1)</f>
        <v/>
      </c>
      <c r="J2" t="str">
        <f>_xll.RssFOPMarket($E2,J$1)</f>
        <v/>
      </c>
      <c r="K2" t="str">
        <f>_xll.RssFOPMarket($E2,K$1)</f>
        <v/>
      </c>
      <c r="L2" t="str">
        <f>_xll.RssFOPMarket($E2,L$1)</f>
        <v/>
      </c>
      <c r="M2" t="str">
        <f>_xll.RssFOPMarket($E2,M$1)</f>
        <v/>
      </c>
      <c r="N2" t="str">
        <f>_xll.RssFOPMarket($E2,N$1)</f>
        <v/>
      </c>
      <c r="O2" t="str">
        <f>_xll.RssFOPMarket($E2,O$1)</f>
        <v/>
      </c>
      <c r="P2" t="str">
        <f>_xll.RssFOPMarket($E2,P$1)</f>
        <v/>
      </c>
      <c r="Q2" t="str">
        <f>_xll.RssFOPMarket($E2,Q$1)</f>
        <v/>
      </c>
    </row>
    <row r="3" spans="1:17" x14ac:dyDescent="0.4">
      <c r="A3" t="str">
        <f>A2</f>
        <v>N225MOP</v>
      </c>
      <c r="B3" t="str">
        <f>B2</f>
        <v>202310#3</v>
      </c>
      <c r="C3" t="str">
        <f>C2</f>
        <v>C</v>
      </c>
      <c r="D3">
        <f>D2-125</f>
        <v>36375</v>
      </c>
      <c r="E3" t="str">
        <f>_xll.RssFOPCode(A3,B3,IF(C3="C",1,IF(C3="P",2,"")),D3)</f>
        <v>マーケットスピード II にログインして「接続中」の状態に変更してから利用してください。</v>
      </c>
      <c r="F3" t="str">
        <f>_xll.RssFOPMarket($E3,F$1)</f>
        <v/>
      </c>
      <c r="G3" t="str">
        <f>_xll.RssFOPMarket($E3,G$1)</f>
        <v/>
      </c>
      <c r="H3" t="str">
        <f>_xll.RssFOPMarket($E3,H$1)</f>
        <v/>
      </c>
      <c r="I3" t="str">
        <f>_xll.RssFOPMarket($E3,I$1)</f>
        <v/>
      </c>
      <c r="J3" t="str">
        <f>_xll.RssFOPMarket($E3,J$1)</f>
        <v/>
      </c>
      <c r="K3" t="str">
        <f>_xll.RssFOPMarket($E3,K$1)</f>
        <v/>
      </c>
      <c r="L3" t="str">
        <f>_xll.RssFOPMarket($E3,L$1)</f>
        <v/>
      </c>
      <c r="M3" t="str">
        <f>_xll.RssFOPMarket($E3,M$1)</f>
        <v/>
      </c>
      <c r="N3" t="str">
        <f>_xll.RssFOPMarket($E3,N$1)</f>
        <v/>
      </c>
      <c r="O3" t="str">
        <f>_xll.RssFOPMarket($E3,O$1)</f>
        <v/>
      </c>
      <c r="P3" t="str">
        <f>_xll.RssFOPMarket($E3,P$1)</f>
        <v/>
      </c>
      <c r="Q3" t="str">
        <f>_xll.RssFOPMarket($E3,Q$1)</f>
        <v/>
      </c>
    </row>
    <row r="4" spans="1:17" x14ac:dyDescent="0.4">
      <c r="A4" t="str">
        <f t="shared" ref="A4:C67" si="0">A3</f>
        <v>N225MOP</v>
      </c>
      <c r="B4" t="str">
        <f t="shared" si="0"/>
        <v>202310#3</v>
      </c>
      <c r="C4" t="str">
        <f t="shared" si="0"/>
        <v>C</v>
      </c>
      <c r="D4">
        <f t="shared" ref="D4:D67" si="1">D3-125</f>
        <v>36250</v>
      </c>
      <c r="E4" t="str">
        <f>_xll.RssFOPCode(A4,B4,IF(C4="C",1,IF(C4="P",2,"")),D4)</f>
        <v>マーケットスピード II にログインして「接続中」の状態に変更してから利用してください。</v>
      </c>
      <c r="F4" t="str">
        <f>_xll.RssFOPMarket($E4,F$1)</f>
        <v/>
      </c>
      <c r="G4" t="str">
        <f>_xll.RssFOPMarket($E4,G$1)</f>
        <v/>
      </c>
      <c r="H4" t="str">
        <f>_xll.RssFOPMarket($E4,H$1)</f>
        <v/>
      </c>
      <c r="I4" t="str">
        <f>_xll.RssFOPMarket($E4,I$1)</f>
        <v/>
      </c>
      <c r="J4" t="str">
        <f>_xll.RssFOPMarket($E4,J$1)</f>
        <v/>
      </c>
      <c r="K4" t="str">
        <f>_xll.RssFOPMarket($E4,K$1)</f>
        <v/>
      </c>
      <c r="L4" t="str">
        <f>_xll.RssFOPMarket($E4,L$1)</f>
        <v/>
      </c>
      <c r="M4" t="str">
        <f>_xll.RssFOPMarket($E4,M$1)</f>
        <v/>
      </c>
      <c r="N4" t="str">
        <f>_xll.RssFOPMarket($E4,N$1)</f>
        <v/>
      </c>
      <c r="O4" t="str">
        <f>_xll.RssFOPMarket($E4,O$1)</f>
        <v/>
      </c>
      <c r="P4" t="str">
        <f>_xll.RssFOPMarket($E4,P$1)</f>
        <v/>
      </c>
      <c r="Q4" t="str">
        <f>_xll.RssFOPMarket($E4,Q$1)</f>
        <v/>
      </c>
    </row>
    <row r="5" spans="1:17" x14ac:dyDescent="0.4">
      <c r="A5" t="str">
        <f t="shared" si="0"/>
        <v>N225MOP</v>
      </c>
      <c r="B5" t="str">
        <f t="shared" si="0"/>
        <v>202310#3</v>
      </c>
      <c r="C5" t="str">
        <f t="shared" si="0"/>
        <v>C</v>
      </c>
      <c r="D5">
        <f t="shared" si="1"/>
        <v>36125</v>
      </c>
      <c r="E5" t="str">
        <f>_xll.RssFOPCode(A5,B5,IF(C5="C",1,IF(C5="P",2,"")),D5)</f>
        <v>マーケットスピード II にログインして「接続中」の状態に変更してから利用してください。</v>
      </c>
      <c r="F5" t="str">
        <f>_xll.RssFOPMarket($E5,F$1)</f>
        <v/>
      </c>
      <c r="G5" t="str">
        <f>_xll.RssFOPMarket($E5,G$1)</f>
        <v/>
      </c>
      <c r="H5" t="str">
        <f>_xll.RssFOPMarket($E5,H$1)</f>
        <v/>
      </c>
      <c r="I5" t="str">
        <f>_xll.RssFOPMarket($E5,I$1)</f>
        <v/>
      </c>
      <c r="J5" t="str">
        <f>_xll.RssFOPMarket($E5,J$1)</f>
        <v/>
      </c>
      <c r="K5" t="str">
        <f>_xll.RssFOPMarket($E5,K$1)</f>
        <v/>
      </c>
      <c r="L5" t="str">
        <f>_xll.RssFOPMarket($E5,L$1)</f>
        <v/>
      </c>
      <c r="M5" t="str">
        <f>_xll.RssFOPMarket($E5,M$1)</f>
        <v/>
      </c>
      <c r="N5" t="str">
        <f>_xll.RssFOPMarket($E5,N$1)</f>
        <v/>
      </c>
      <c r="O5" t="str">
        <f>_xll.RssFOPMarket($E5,O$1)</f>
        <v/>
      </c>
      <c r="P5" t="str">
        <f>_xll.RssFOPMarket($E5,P$1)</f>
        <v/>
      </c>
      <c r="Q5" t="str">
        <f>_xll.RssFOPMarket($E5,Q$1)</f>
        <v/>
      </c>
    </row>
    <row r="6" spans="1:17" x14ac:dyDescent="0.4">
      <c r="A6" t="str">
        <f t="shared" si="0"/>
        <v>N225MOP</v>
      </c>
      <c r="B6" t="str">
        <f t="shared" si="0"/>
        <v>202310#3</v>
      </c>
      <c r="C6" t="str">
        <f t="shared" si="0"/>
        <v>C</v>
      </c>
      <c r="D6">
        <f t="shared" si="1"/>
        <v>36000</v>
      </c>
      <c r="E6" t="str">
        <f>_xll.RssFOPCode(A6,B6,IF(C6="C",1,IF(C6="P",2,"")),D6)</f>
        <v>マーケットスピード II にログインして「接続中」の状態に変更してから利用してください。</v>
      </c>
      <c r="F6" t="str">
        <f>_xll.RssFOPMarket($E6,F$1)</f>
        <v/>
      </c>
      <c r="G6" t="str">
        <f>_xll.RssFOPMarket($E6,G$1)</f>
        <v/>
      </c>
      <c r="H6" t="str">
        <f>_xll.RssFOPMarket($E6,H$1)</f>
        <v/>
      </c>
      <c r="I6" t="str">
        <f>_xll.RssFOPMarket($E6,I$1)</f>
        <v/>
      </c>
      <c r="J6" t="str">
        <f>_xll.RssFOPMarket($E6,J$1)</f>
        <v/>
      </c>
      <c r="K6" t="str">
        <f>_xll.RssFOPMarket($E6,K$1)</f>
        <v/>
      </c>
      <c r="L6" t="str">
        <f>_xll.RssFOPMarket($E6,L$1)</f>
        <v/>
      </c>
      <c r="M6" t="str">
        <f>_xll.RssFOPMarket($E6,M$1)</f>
        <v/>
      </c>
      <c r="N6" t="str">
        <f>_xll.RssFOPMarket($E6,N$1)</f>
        <v/>
      </c>
      <c r="O6" t="str">
        <f>_xll.RssFOPMarket($E6,O$1)</f>
        <v/>
      </c>
      <c r="P6" t="str">
        <f>_xll.RssFOPMarket($E6,P$1)</f>
        <v/>
      </c>
      <c r="Q6" t="str">
        <f>_xll.RssFOPMarket($E6,Q$1)</f>
        <v/>
      </c>
    </row>
    <row r="7" spans="1:17" x14ac:dyDescent="0.4">
      <c r="A7" t="str">
        <f t="shared" si="0"/>
        <v>N225MOP</v>
      </c>
      <c r="B7" t="str">
        <f t="shared" si="0"/>
        <v>202310#3</v>
      </c>
      <c r="C7" t="str">
        <f t="shared" si="0"/>
        <v>C</v>
      </c>
      <c r="D7">
        <f t="shared" si="1"/>
        <v>35875</v>
      </c>
      <c r="E7" t="str">
        <f>_xll.RssFOPCode(A7,B7,IF(C7="C",1,IF(C7="P",2,"")),D7)</f>
        <v>マーケットスピード II にログインして「接続中」の状態に変更してから利用してください。</v>
      </c>
      <c r="F7" t="str">
        <f>_xll.RssFOPMarket($E7,F$1)</f>
        <v/>
      </c>
      <c r="G7" t="str">
        <f>_xll.RssFOPMarket($E7,G$1)</f>
        <v/>
      </c>
      <c r="H7" t="str">
        <f>_xll.RssFOPMarket($E7,H$1)</f>
        <v/>
      </c>
      <c r="I7" t="str">
        <f>_xll.RssFOPMarket($E7,I$1)</f>
        <v/>
      </c>
      <c r="J7" t="str">
        <f>_xll.RssFOPMarket($E7,J$1)</f>
        <v/>
      </c>
      <c r="K7" t="str">
        <f>_xll.RssFOPMarket($E7,K$1)</f>
        <v/>
      </c>
      <c r="L7" t="str">
        <f>_xll.RssFOPMarket($E7,L$1)</f>
        <v/>
      </c>
      <c r="M7" t="str">
        <f>_xll.RssFOPMarket($E7,M$1)</f>
        <v/>
      </c>
      <c r="N7" t="str">
        <f>_xll.RssFOPMarket($E7,N$1)</f>
        <v/>
      </c>
      <c r="O7" t="str">
        <f>_xll.RssFOPMarket($E7,O$1)</f>
        <v/>
      </c>
      <c r="P7" t="str">
        <f>_xll.RssFOPMarket($E7,P$1)</f>
        <v/>
      </c>
      <c r="Q7" t="str">
        <f>_xll.RssFOPMarket($E7,Q$1)</f>
        <v/>
      </c>
    </row>
    <row r="8" spans="1:17" x14ac:dyDescent="0.4">
      <c r="A8" t="str">
        <f t="shared" si="0"/>
        <v>N225MOP</v>
      </c>
      <c r="B8" t="str">
        <f t="shared" si="0"/>
        <v>202310#3</v>
      </c>
      <c r="C8" t="str">
        <f t="shared" si="0"/>
        <v>C</v>
      </c>
      <c r="D8">
        <f t="shared" si="1"/>
        <v>35750</v>
      </c>
      <c r="E8" t="str">
        <f>_xll.RssFOPCode(A8,B8,IF(C8="C",1,IF(C8="P",2,"")),D8)</f>
        <v>マーケットスピード II にログインして「接続中」の状態に変更してから利用してください。</v>
      </c>
      <c r="F8" t="str">
        <f>_xll.RssFOPMarket($E8,F$1)</f>
        <v/>
      </c>
      <c r="G8" t="str">
        <f>_xll.RssFOPMarket($E8,G$1)</f>
        <v/>
      </c>
      <c r="H8" t="str">
        <f>_xll.RssFOPMarket($E8,H$1)</f>
        <v/>
      </c>
      <c r="I8" t="str">
        <f>_xll.RssFOPMarket($E8,I$1)</f>
        <v/>
      </c>
      <c r="J8" t="str">
        <f>_xll.RssFOPMarket($E8,J$1)</f>
        <v/>
      </c>
      <c r="K8" t="str">
        <f>_xll.RssFOPMarket($E8,K$1)</f>
        <v/>
      </c>
      <c r="L8" t="str">
        <f>_xll.RssFOPMarket($E8,L$1)</f>
        <v/>
      </c>
      <c r="M8" t="str">
        <f>_xll.RssFOPMarket($E8,M$1)</f>
        <v/>
      </c>
      <c r="N8" t="str">
        <f>_xll.RssFOPMarket($E8,N$1)</f>
        <v/>
      </c>
      <c r="O8" t="str">
        <f>_xll.RssFOPMarket($E8,O$1)</f>
        <v/>
      </c>
      <c r="P8" t="str">
        <f>_xll.RssFOPMarket($E8,P$1)</f>
        <v/>
      </c>
      <c r="Q8" t="str">
        <f>_xll.RssFOPMarket($E8,Q$1)</f>
        <v/>
      </c>
    </row>
    <row r="9" spans="1:17" x14ac:dyDescent="0.4">
      <c r="A9" t="str">
        <f t="shared" si="0"/>
        <v>N225MOP</v>
      </c>
      <c r="B9" t="str">
        <f t="shared" si="0"/>
        <v>202310#3</v>
      </c>
      <c r="C9" t="str">
        <f t="shared" si="0"/>
        <v>C</v>
      </c>
      <c r="D9">
        <f t="shared" si="1"/>
        <v>35625</v>
      </c>
      <c r="E9" t="str">
        <f>_xll.RssFOPCode(A9,B9,IF(C9="C",1,IF(C9="P",2,"")),D9)</f>
        <v>マーケットスピード II にログインして「接続中」の状態に変更してから利用してください。</v>
      </c>
      <c r="F9" t="str">
        <f>_xll.RssFOPMarket($E9,F$1)</f>
        <v/>
      </c>
      <c r="G9" t="str">
        <f>_xll.RssFOPMarket($E9,G$1)</f>
        <v/>
      </c>
      <c r="H9" t="str">
        <f>_xll.RssFOPMarket($E9,H$1)</f>
        <v/>
      </c>
      <c r="I9" t="str">
        <f>_xll.RssFOPMarket($E9,I$1)</f>
        <v/>
      </c>
      <c r="J9" t="str">
        <f>_xll.RssFOPMarket($E9,J$1)</f>
        <v/>
      </c>
      <c r="K9" t="str">
        <f>_xll.RssFOPMarket($E9,K$1)</f>
        <v/>
      </c>
      <c r="L9" t="str">
        <f>_xll.RssFOPMarket($E9,L$1)</f>
        <v/>
      </c>
      <c r="M9" t="str">
        <f>_xll.RssFOPMarket($E9,M$1)</f>
        <v/>
      </c>
      <c r="N9" t="str">
        <f>_xll.RssFOPMarket($E9,N$1)</f>
        <v/>
      </c>
      <c r="O9" t="str">
        <f>_xll.RssFOPMarket($E9,O$1)</f>
        <v/>
      </c>
      <c r="P9" t="str">
        <f>_xll.RssFOPMarket($E9,P$1)</f>
        <v/>
      </c>
      <c r="Q9" t="str">
        <f>_xll.RssFOPMarket($E9,Q$1)</f>
        <v/>
      </c>
    </row>
    <row r="10" spans="1:17" x14ac:dyDescent="0.4">
      <c r="A10" t="str">
        <f t="shared" si="0"/>
        <v>N225MOP</v>
      </c>
      <c r="B10" t="str">
        <f t="shared" si="0"/>
        <v>202310#3</v>
      </c>
      <c r="C10" t="str">
        <f t="shared" si="0"/>
        <v>C</v>
      </c>
      <c r="D10">
        <f t="shared" si="1"/>
        <v>35500</v>
      </c>
      <c r="E10" t="str">
        <f>_xll.RssFOPCode(A10,B10,IF(C10="C",1,IF(C10="P",2,"")),D10)</f>
        <v>マーケットスピード II にログインして「接続中」の状態に変更してから利用してください。</v>
      </c>
      <c r="F10" t="str">
        <f>_xll.RssFOPMarket($E10,F$1)</f>
        <v/>
      </c>
      <c r="G10" t="str">
        <f>_xll.RssFOPMarket($E10,G$1)</f>
        <v/>
      </c>
      <c r="H10" t="str">
        <f>_xll.RssFOPMarket($E10,H$1)</f>
        <v/>
      </c>
      <c r="I10" t="str">
        <f>_xll.RssFOPMarket($E10,I$1)</f>
        <v/>
      </c>
      <c r="J10" t="str">
        <f>_xll.RssFOPMarket($E10,J$1)</f>
        <v/>
      </c>
      <c r="K10" t="str">
        <f>_xll.RssFOPMarket($E10,K$1)</f>
        <v/>
      </c>
      <c r="L10" t="str">
        <f>_xll.RssFOPMarket($E10,L$1)</f>
        <v/>
      </c>
      <c r="M10" t="str">
        <f>_xll.RssFOPMarket($E10,M$1)</f>
        <v/>
      </c>
      <c r="N10" t="str">
        <f>_xll.RssFOPMarket($E10,N$1)</f>
        <v/>
      </c>
      <c r="O10" t="str">
        <f>_xll.RssFOPMarket($E10,O$1)</f>
        <v/>
      </c>
      <c r="P10" t="str">
        <f>_xll.RssFOPMarket($E10,P$1)</f>
        <v/>
      </c>
      <c r="Q10" t="str">
        <f>_xll.RssFOPMarket($E10,Q$1)</f>
        <v/>
      </c>
    </row>
    <row r="11" spans="1:17" x14ac:dyDescent="0.4">
      <c r="A11" t="str">
        <f t="shared" si="0"/>
        <v>N225MOP</v>
      </c>
      <c r="B11" t="str">
        <f t="shared" si="0"/>
        <v>202310#3</v>
      </c>
      <c r="C11" t="str">
        <f t="shared" si="0"/>
        <v>C</v>
      </c>
      <c r="D11">
        <f t="shared" si="1"/>
        <v>35375</v>
      </c>
      <c r="E11" t="str">
        <f>_xll.RssFOPCode(A11,B11,IF(C11="C",1,IF(C11="P",2,"")),D11)</f>
        <v>マーケットスピード II にログインして「接続中」の状態に変更してから利用してください。</v>
      </c>
      <c r="F11" t="str">
        <f>_xll.RssFOPMarket($E11,F$1)</f>
        <v/>
      </c>
      <c r="G11" t="str">
        <f>_xll.RssFOPMarket($E11,G$1)</f>
        <v/>
      </c>
      <c r="H11" t="str">
        <f>_xll.RssFOPMarket($E11,H$1)</f>
        <v/>
      </c>
      <c r="I11" t="str">
        <f>_xll.RssFOPMarket($E11,I$1)</f>
        <v/>
      </c>
      <c r="J11" t="str">
        <f>_xll.RssFOPMarket($E11,J$1)</f>
        <v/>
      </c>
      <c r="K11" t="str">
        <f>_xll.RssFOPMarket($E11,K$1)</f>
        <v/>
      </c>
      <c r="L11" t="str">
        <f>_xll.RssFOPMarket($E11,L$1)</f>
        <v/>
      </c>
      <c r="M11" t="str">
        <f>_xll.RssFOPMarket($E11,M$1)</f>
        <v/>
      </c>
      <c r="N11" t="str">
        <f>_xll.RssFOPMarket($E11,N$1)</f>
        <v/>
      </c>
      <c r="O11" t="str">
        <f>_xll.RssFOPMarket($E11,O$1)</f>
        <v/>
      </c>
      <c r="P11" t="str">
        <f>_xll.RssFOPMarket($E11,P$1)</f>
        <v/>
      </c>
      <c r="Q11" t="str">
        <f>_xll.RssFOPMarket($E11,Q$1)</f>
        <v/>
      </c>
    </row>
    <row r="12" spans="1:17" x14ac:dyDescent="0.4">
      <c r="A12" t="str">
        <f t="shared" si="0"/>
        <v>N225MOP</v>
      </c>
      <c r="B12" t="str">
        <f t="shared" si="0"/>
        <v>202310#3</v>
      </c>
      <c r="C12" t="str">
        <f t="shared" si="0"/>
        <v>C</v>
      </c>
      <c r="D12">
        <f t="shared" si="1"/>
        <v>35250</v>
      </c>
      <c r="E12" t="str">
        <f>_xll.RssFOPCode(A12,B12,IF(C12="C",1,IF(C12="P",2,"")),D12)</f>
        <v>マーケットスピード II にログインして「接続中」の状態に変更してから利用してください。</v>
      </c>
      <c r="F12" t="str">
        <f>_xll.RssFOPMarket($E12,F$1)</f>
        <v/>
      </c>
      <c r="G12" t="str">
        <f>_xll.RssFOPMarket($E12,G$1)</f>
        <v/>
      </c>
      <c r="H12" t="str">
        <f>_xll.RssFOPMarket($E12,H$1)</f>
        <v/>
      </c>
      <c r="I12" t="str">
        <f>_xll.RssFOPMarket($E12,I$1)</f>
        <v/>
      </c>
      <c r="J12" t="str">
        <f>_xll.RssFOPMarket($E12,J$1)</f>
        <v/>
      </c>
      <c r="K12" t="str">
        <f>_xll.RssFOPMarket($E12,K$1)</f>
        <v/>
      </c>
      <c r="L12" t="str">
        <f>_xll.RssFOPMarket($E12,L$1)</f>
        <v/>
      </c>
      <c r="M12" t="str">
        <f>_xll.RssFOPMarket($E12,M$1)</f>
        <v/>
      </c>
      <c r="N12" t="str">
        <f>_xll.RssFOPMarket($E12,N$1)</f>
        <v/>
      </c>
      <c r="O12" t="str">
        <f>_xll.RssFOPMarket($E12,O$1)</f>
        <v/>
      </c>
      <c r="P12" t="str">
        <f>_xll.RssFOPMarket($E12,P$1)</f>
        <v/>
      </c>
      <c r="Q12" t="str">
        <f>_xll.RssFOPMarket($E12,Q$1)</f>
        <v/>
      </c>
    </row>
    <row r="13" spans="1:17" x14ac:dyDescent="0.4">
      <c r="A13" t="str">
        <f t="shared" si="0"/>
        <v>N225MOP</v>
      </c>
      <c r="B13" t="str">
        <f t="shared" si="0"/>
        <v>202310#3</v>
      </c>
      <c r="C13" t="str">
        <f t="shared" si="0"/>
        <v>C</v>
      </c>
      <c r="D13">
        <f t="shared" si="1"/>
        <v>35125</v>
      </c>
      <c r="E13" t="str">
        <f>_xll.RssFOPCode(A13,B13,IF(C13="C",1,IF(C13="P",2,"")),D13)</f>
        <v>マーケットスピード II にログインして「接続中」の状態に変更してから利用してください。</v>
      </c>
      <c r="F13" t="str">
        <f>_xll.RssFOPMarket($E13,F$1)</f>
        <v/>
      </c>
      <c r="G13" t="str">
        <f>_xll.RssFOPMarket($E13,G$1)</f>
        <v/>
      </c>
      <c r="H13" t="str">
        <f>_xll.RssFOPMarket($E13,H$1)</f>
        <v/>
      </c>
      <c r="I13" t="str">
        <f>_xll.RssFOPMarket($E13,I$1)</f>
        <v/>
      </c>
      <c r="J13" t="str">
        <f>_xll.RssFOPMarket($E13,J$1)</f>
        <v/>
      </c>
      <c r="K13" t="str">
        <f>_xll.RssFOPMarket($E13,K$1)</f>
        <v/>
      </c>
      <c r="L13" t="str">
        <f>_xll.RssFOPMarket($E13,L$1)</f>
        <v/>
      </c>
      <c r="M13" t="str">
        <f>_xll.RssFOPMarket($E13,M$1)</f>
        <v/>
      </c>
      <c r="N13" t="str">
        <f>_xll.RssFOPMarket($E13,N$1)</f>
        <v/>
      </c>
      <c r="O13" t="str">
        <f>_xll.RssFOPMarket($E13,O$1)</f>
        <v/>
      </c>
      <c r="P13" t="str">
        <f>_xll.RssFOPMarket($E13,P$1)</f>
        <v/>
      </c>
      <c r="Q13" t="str">
        <f>_xll.RssFOPMarket($E13,Q$1)</f>
        <v/>
      </c>
    </row>
    <row r="14" spans="1:17" x14ac:dyDescent="0.4">
      <c r="A14" t="str">
        <f t="shared" si="0"/>
        <v>N225MOP</v>
      </c>
      <c r="B14" t="str">
        <f t="shared" si="0"/>
        <v>202310#3</v>
      </c>
      <c r="C14" t="str">
        <f t="shared" si="0"/>
        <v>C</v>
      </c>
      <c r="D14">
        <f t="shared" si="1"/>
        <v>35000</v>
      </c>
      <c r="E14" t="str">
        <f>_xll.RssFOPCode(A14,B14,IF(C14="C",1,IF(C14="P",2,"")),D14)</f>
        <v>マーケットスピード II にログインして「接続中」の状態に変更してから利用してください。</v>
      </c>
      <c r="F14" t="str">
        <f>_xll.RssFOPMarket($E14,F$1)</f>
        <v/>
      </c>
      <c r="G14" t="str">
        <f>_xll.RssFOPMarket($E14,G$1)</f>
        <v/>
      </c>
      <c r="H14" t="str">
        <f>_xll.RssFOPMarket($E14,H$1)</f>
        <v/>
      </c>
      <c r="I14" t="str">
        <f>_xll.RssFOPMarket($E14,I$1)</f>
        <v/>
      </c>
      <c r="J14" t="str">
        <f>_xll.RssFOPMarket($E14,J$1)</f>
        <v/>
      </c>
      <c r="K14" t="str">
        <f>_xll.RssFOPMarket($E14,K$1)</f>
        <v/>
      </c>
      <c r="L14" t="str">
        <f>_xll.RssFOPMarket($E14,L$1)</f>
        <v/>
      </c>
      <c r="M14" t="str">
        <f>_xll.RssFOPMarket($E14,M$1)</f>
        <v/>
      </c>
      <c r="N14" t="str">
        <f>_xll.RssFOPMarket($E14,N$1)</f>
        <v/>
      </c>
      <c r="O14" t="str">
        <f>_xll.RssFOPMarket($E14,O$1)</f>
        <v/>
      </c>
      <c r="P14" t="str">
        <f>_xll.RssFOPMarket($E14,P$1)</f>
        <v/>
      </c>
      <c r="Q14" t="str">
        <f>_xll.RssFOPMarket($E14,Q$1)</f>
        <v/>
      </c>
    </row>
    <row r="15" spans="1:17" x14ac:dyDescent="0.4">
      <c r="A15" t="str">
        <f t="shared" si="0"/>
        <v>N225MOP</v>
      </c>
      <c r="B15" t="str">
        <f t="shared" si="0"/>
        <v>202310#3</v>
      </c>
      <c r="C15" t="str">
        <f t="shared" si="0"/>
        <v>C</v>
      </c>
      <c r="D15">
        <f t="shared" si="1"/>
        <v>34875</v>
      </c>
      <c r="E15" t="str">
        <f>_xll.RssFOPCode(A15,B15,IF(C15="C",1,IF(C15="P",2,"")),D15)</f>
        <v>マーケットスピード II にログインして「接続中」の状態に変更してから利用してください。</v>
      </c>
      <c r="F15" t="str">
        <f>_xll.RssFOPMarket($E15,F$1)</f>
        <v/>
      </c>
      <c r="G15" t="str">
        <f>_xll.RssFOPMarket($E15,G$1)</f>
        <v/>
      </c>
      <c r="H15" t="str">
        <f>_xll.RssFOPMarket($E15,H$1)</f>
        <v/>
      </c>
      <c r="I15" t="str">
        <f>_xll.RssFOPMarket($E15,I$1)</f>
        <v/>
      </c>
      <c r="J15" t="str">
        <f>_xll.RssFOPMarket($E15,J$1)</f>
        <v/>
      </c>
      <c r="K15" t="str">
        <f>_xll.RssFOPMarket($E15,K$1)</f>
        <v/>
      </c>
      <c r="L15" t="str">
        <f>_xll.RssFOPMarket($E15,L$1)</f>
        <v/>
      </c>
      <c r="M15" t="str">
        <f>_xll.RssFOPMarket($E15,M$1)</f>
        <v/>
      </c>
      <c r="N15" t="str">
        <f>_xll.RssFOPMarket($E15,N$1)</f>
        <v/>
      </c>
      <c r="O15" t="str">
        <f>_xll.RssFOPMarket($E15,O$1)</f>
        <v/>
      </c>
      <c r="P15" t="str">
        <f>_xll.RssFOPMarket($E15,P$1)</f>
        <v/>
      </c>
      <c r="Q15" t="str">
        <f>_xll.RssFOPMarket($E15,Q$1)</f>
        <v/>
      </c>
    </row>
    <row r="16" spans="1:17" x14ac:dyDescent="0.4">
      <c r="A16" t="str">
        <f t="shared" si="0"/>
        <v>N225MOP</v>
      </c>
      <c r="B16" t="str">
        <f t="shared" si="0"/>
        <v>202310#3</v>
      </c>
      <c r="C16" t="str">
        <f t="shared" si="0"/>
        <v>C</v>
      </c>
      <c r="D16">
        <f t="shared" si="1"/>
        <v>34750</v>
      </c>
      <c r="E16" t="str">
        <f>_xll.RssFOPCode(A16,B16,IF(C16="C",1,IF(C16="P",2,"")),D16)</f>
        <v>マーケットスピード II にログインして「接続中」の状態に変更してから利用してください。</v>
      </c>
      <c r="F16" t="str">
        <f>_xll.RssFOPMarket($E16,F$1)</f>
        <v/>
      </c>
      <c r="G16" t="str">
        <f>_xll.RssFOPMarket($E16,G$1)</f>
        <v/>
      </c>
      <c r="H16" t="str">
        <f>_xll.RssFOPMarket($E16,H$1)</f>
        <v/>
      </c>
      <c r="I16" t="str">
        <f>_xll.RssFOPMarket($E16,I$1)</f>
        <v/>
      </c>
      <c r="J16" t="str">
        <f>_xll.RssFOPMarket($E16,J$1)</f>
        <v/>
      </c>
      <c r="K16" t="str">
        <f>_xll.RssFOPMarket($E16,K$1)</f>
        <v/>
      </c>
      <c r="L16" t="str">
        <f>_xll.RssFOPMarket($E16,L$1)</f>
        <v/>
      </c>
      <c r="M16" t="str">
        <f>_xll.RssFOPMarket($E16,M$1)</f>
        <v/>
      </c>
      <c r="N16" t="str">
        <f>_xll.RssFOPMarket($E16,N$1)</f>
        <v/>
      </c>
      <c r="O16" t="str">
        <f>_xll.RssFOPMarket($E16,O$1)</f>
        <v/>
      </c>
      <c r="P16" t="str">
        <f>_xll.RssFOPMarket($E16,P$1)</f>
        <v/>
      </c>
      <c r="Q16" t="str">
        <f>_xll.RssFOPMarket($E16,Q$1)</f>
        <v/>
      </c>
    </row>
    <row r="17" spans="1:17" x14ac:dyDescent="0.4">
      <c r="A17" t="str">
        <f t="shared" si="0"/>
        <v>N225MOP</v>
      </c>
      <c r="B17" t="str">
        <f t="shared" si="0"/>
        <v>202310#3</v>
      </c>
      <c r="C17" t="str">
        <f t="shared" si="0"/>
        <v>C</v>
      </c>
      <c r="D17">
        <f t="shared" si="1"/>
        <v>34625</v>
      </c>
      <c r="E17" t="str">
        <f>_xll.RssFOPCode(A17,B17,IF(C17="C",1,IF(C17="P",2,"")),D17)</f>
        <v>マーケットスピード II にログインして「接続中」の状態に変更してから利用してください。</v>
      </c>
      <c r="F17" t="str">
        <f>_xll.RssFOPMarket($E17,F$1)</f>
        <v/>
      </c>
      <c r="G17" t="str">
        <f>_xll.RssFOPMarket($E17,G$1)</f>
        <v/>
      </c>
      <c r="H17" t="str">
        <f>_xll.RssFOPMarket($E17,H$1)</f>
        <v/>
      </c>
      <c r="I17" t="str">
        <f>_xll.RssFOPMarket($E17,I$1)</f>
        <v/>
      </c>
      <c r="J17" t="str">
        <f>_xll.RssFOPMarket($E17,J$1)</f>
        <v/>
      </c>
      <c r="K17" t="str">
        <f>_xll.RssFOPMarket($E17,K$1)</f>
        <v/>
      </c>
      <c r="L17" t="str">
        <f>_xll.RssFOPMarket($E17,L$1)</f>
        <v/>
      </c>
      <c r="M17" t="str">
        <f>_xll.RssFOPMarket($E17,M$1)</f>
        <v/>
      </c>
      <c r="N17" t="str">
        <f>_xll.RssFOPMarket($E17,N$1)</f>
        <v/>
      </c>
      <c r="O17" t="str">
        <f>_xll.RssFOPMarket($E17,O$1)</f>
        <v/>
      </c>
      <c r="P17" t="str">
        <f>_xll.RssFOPMarket($E17,P$1)</f>
        <v/>
      </c>
      <c r="Q17" t="str">
        <f>_xll.RssFOPMarket($E17,Q$1)</f>
        <v/>
      </c>
    </row>
    <row r="18" spans="1:17" x14ac:dyDescent="0.4">
      <c r="A18" t="str">
        <f t="shared" si="0"/>
        <v>N225MOP</v>
      </c>
      <c r="B18" t="str">
        <f t="shared" si="0"/>
        <v>202310#3</v>
      </c>
      <c r="C18" t="str">
        <f t="shared" si="0"/>
        <v>C</v>
      </c>
      <c r="D18">
        <f t="shared" si="1"/>
        <v>34500</v>
      </c>
      <c r="E18" t="str">
        <f>_xll.RssFOPCode(A18,B18,IF(C18="C",1,IF(C18="P",2,"")),D18)</f>
        <v>マーケットスピード II にログインして「接続中」の状態に変更してから利用してください。</v>
      </c>
      <c r="F18" t="str">
        <f>_xll.RssFOPMarket($E18,F$1)</f>
        <v/>
      </c>
      <c r="G18" t="str">
        <f>_xll.RssFOPMarket($E18,G$1)</f>
        <v/>
      </c>
      <c r="H18" t="str">
        <f>_xll.RssFOPMarket($E18,H$1)</f>
        <v/>
      </c>
      <c r="I18" t="str">
        <f>_xll.RssFOPMarket($E18,I$1)</f>
        <v/>
      </c>
      <c r="J18" t="str">
        <f>_xll.RssFOPMarket($E18,J$1)</f>
        <v/>
      </c>
      <c r="K18" t="str">
        <f>_xll.RssFOPMarket($E18,K$1)</f>
        <v/>
      </c>
      <c r="L18" t="str">
        <f>_xll.RssFOPMarket($E18,L$1)</f>
        <v/>
      </c>
      <c r="M18" t="str">
        <f>_xll.RssFOPMarket($E18,M$1)</f>
        <v/>
      </c>
      <c r="N18" t="str">
        <f>_xll.RssFOPMarket($E18,N$1)</f>
        <v/>
      </c>
      <c r="O18" t="str">
        <f>_xll.RssFOPMarket($E18,O$1)</f>
        <v/>
      </c>
      <c r="P18" t="str">
        <f>_xll.RssFOPMarket($E18,P$1)</f>
        <v/>
      </c>
      <c r="Q18" t="str">
        <f>_xll.RssFOPMarket($E18,Q$1)</f>
        <v/>
      </c>
    </row>
    <row r="19" spans="1:17" x14ac:dyDescent="0.4">
      <c r="A19" t="str">
        <f t="shared" si="0"/>
        <v>N225MOP</v>
      </c>
      <c r="B19" t="str">
        <f t="shared" si="0"/>
        <v>202310#3</v>
      </c>
      <c r="C19" t="str">
        <f t="shared" si="0"/>
        <v>C</v>
      </c>
      <c r="D19">
        <f t="shared" si="1"/>
        <v>34375</v>
      </c>
      <c r="E19" t="str">
        <f>_xll.RssFOPCode(A19,B19,IF(C19="C",1,IF(C19="P",2,"")),D19)</f>
        <v>マーケットスピード II にログインして「接続中」の状態に変更してから利用してください。</v>
      </c>
      <c r="F19" t="str">
        <f>_xll.RssFOPMarket($E19,F$1)</f>
        <v/>
      </c>
      <c r="G19" t="str">
        <f>_xll.RssFOPMarket($E19,G$1)</f>
        <v/>
      </c>
      <c r="H19" t="str">
        <f>_xll.RssFOPMarket($E19,H$1)</f>
        <v/>
      </c>
      <c r="I19" t="str">
        <f>_xll.RssFOPMarket($E19,I$1)</f>
        <v/>
      </c>
      <c r="J19" t="str">
        <f>_xll.RssFOPMarket($E19,J$1)</f>
        <v/>
      </c>
      <c r="K19" t="str">
        <f>_xll.RssFOPMarket($E19,K$1)</f>
        <v/>
      </c>
      <c r="L19" t="str">
        <f>_xll.RssFOPMarket($E19,L$1)</f>
        <v/>
      </c>
      <c r="M19" t="str">
        <f>_xll.RssFOPMarket($E19,M$1)</f>
        <v/>
      </c>
      <c r="N19" t="str">
        <f>_xll.RssFOPMarket($E19,N$1)</f>
        <v/>
      </c>
      <c r="O19" t="str">
        <f>_xll.RssFOPMarket($E19,O$1)</f>
        <v/>
      </c>
      <c r="P19" t="str">
        <f>_xll.RssFOPMarket($E19,P$1)</f>
        <v/>
      </c>
      <c r="Q19" t="str">
        <f>_xll.RssFOPMarket($E19,Q$1)</f>
        <v/>
      </c>
    </row>
    <row r="20" spans="1:17" x14ac:dyDescent="0.4">
      <c r="A20" t="str">
        <f t="shared" si="0"/>
        <v>N225MOP</v>
      </c>
      <c r="B20" t="str">
        <f t="shared" si="0"/>
        <v>202310#3</v>
      </c>
      <c r="C20" t="str">
        <f t="shared" si="0"/>
        <v>C</v>
      </c>
      <c r="D20">
        <f t="shared" si="1"/>
        <v>34250</v>
      </c>
      <c r="E20" t="str">
        <f>_xll.RssFOPCode(A20,B20,IF(C20="C",1,IF(C20="P",2,"")),D20)</f>
        <v>マーケットスピード II にログインして「接続中」の状態に変更してから利用してください。</v>
      </c>
      <c r="F20" t="str">
        <f>_xll.RssFOPMarket($E20,F$1)</f>
        <v/>
      </c>
      <c r="G20" t="str">
        <f>_xll.RssFOPMarket($E20,G$1)</f>
        <v/>
      </c>
      <c r="H20" t="str">
        <f>_xll.RssFOPMarket($E20,H$1)</f>
        <v/>
      </c>
      <c r="I20" t="str">
        <f>_xll.RssFOPMarket($E20,I$1)</f>
        <v/>
      </c>
      <c r="J20" t="str">
        <f>_xll.RssFOPMarket($E20,J$1)</f>
        <v/>
      </c>
      <c r="K20" t="str">
        <f>_xll.RssFOPMarket($E20,K$1)</f>
        <v/>
      </c>
      <c r="L20" t="str">
        <f>_xll.RssFOPMarket($E20,L$1)</f>
        <v/>
      </c>
      <c r="M20" t="str">
        <f>_xll.RssFOPMarket($E20,M$1)</f>
        <v/>
      </c>
      <c r="N20" t="str">
        <f>_xll.RssFOPMarket($E20,N$1)</f>
        <v/>
      </c>
      <c r="O20" t="str">
        <f>_xll.RssFOPMarket($E20,O$1)</f>
        <v/>
      </c>
      <c r="P20" t="str">
        <f>_xll.RssFOPMarket($E20,P$1)</f>
        <v/>
      </c>
      <c r="Q20" t="str">
        <f>_xll.RssFOPMarket($E20,Q$1)</f>
        <v/>
      </c>
    </row>
    <row r="21" spans="1:17" x14ac:dyDescent="0.4">
      <c r="A21" t="str">
        <f t="shared" si="0"/>
        <v>N225MOP</v>
      </c>
      <c r="B21" t="str">
        <f t="shared" si="0"/>
        <v>202310#3</v>
      </c>
      <c r="C21" t="str">
        <f t="shared" si="0"/>
        <v>C</v>
      </c>
      <c r="D21">
        <f t="shared" si="1"/>
        <v>34125</v>
      </c>
      <c r="E21" t="str">
        <f>_xll.RssFOPCode(A21,B21,IF(C21="C",1,IF(C21="P",2,"")),D21)</f>
        <v>マーケットスピード II にログインして「接続中」の状態に変更してから利用してください。</v>
      </c>
      <c r="F21" t="str">
        <f>_xll.RssFOPMarket($E21,F$1)</f>
        <v/>
      </c>
      <c r="G21" t="str">
        <f>_xll.RssFOPMarket($E21,G$1)</f>
        <v/>
      </c>
      <c r="H21" t="str">
        <f>_xll.RssFOPMarket($E21,H$1)</f>
        <v/>
      </c>
      <c r="I21" t="str">
        <f>_xll.RssFOPMarket($E21,I$1)</f>
        <v/>
      </c>
      <c r="J21" t="str">
        <f>_xll.RssFOPMarket($E21,J$1)</f>
        <v/>
      </c>
      <c r="K21" t="str">
        <f>_xll.RssFOPMarket($E21,K$1)</f>
        <v/>
      </c>
      <c r="L21" t="str">
        <f>_xll.RssFOPMarket($E21,L$1)</f>
        <v/>
      </c>
      <c r="M21" t="str">
        <f>_xll.RssFOPMarket($E21,M$1)</f>
        <v/>
      </c>
      <c r="N21" t="str">
        <f>_xll.RssFOPMarket($E21,N$1)</f>
        <v/>
      </c>
      <c r="O21" t="str">
        <f>_xll.RssFOPMarket($E21,O$1)</f>
        <v/>
      </c>
      <c r="P21" t="str">
        <f>_xll.RssFOPMarket($E21,P$1)</f>
        <v/>
      </c>
      <c r="Q21" t="str">
        <f>_xll.RssFOPMarket($E21,Q$1)</f>
        <v/>
      </c>
    </row>
    <row r="22" spans="1:17" x14ac:dyDescent="0.4">
      <c r="A22" t="str">
        <f t="shared" si="0"/>
        <v>N225MOP</v>
      </c>
      <c r="B22" t="str">
        <f t="shared" si="0"/>
        <v>202310#3</v>
      </c>
      <c r="C22" t="str">
        <f t="shared" si="0"/>
        <v>C</v>
      </c>
      <c r="D22">
        <f t="shared" si="1"/>
        <v>34000</v>
      </c>
      <c r="E22" t="str">
        <f>_xll.RssFOPCode(A22,B22,IF(C22="C",1,IF(C22="P",2,"")),D22)</f>
        <v>マーケットスピード II にログインして「接続中」の状態に変更してから利用してください。</v>
      </c>
      <c r="F22" t="str">
        <f>_xll.RssFOPMarket($E22,F$1)</f>
        <v/>
      </c>
      <c r="G22" t="str">
        <f>_xll.RssFOPMarket($E22,G$1)</f>
        <v/>
      </c>
      <c r="H22" t="str">
        <f>_xll.RssFOPMarket($E22,H$1)</f>
        <v/>
      </c>
      <c r="I22" t="str">
        <f>_xll.RssFOPMarket($E22,I$1)</f>
        <v/>
      </c>
      <c r="J22" t="str">
        <f>_xll.RssFOPMarket($E22,J$1)</f>
        <v/>
      </c>
      <c r="K22" t="str">
        <f>_xll.RssFOPMarket($E22,K$1)</f>
        <v/>
      </c>
      <c r="L22" t="str">
        <f>_xll.RssFOPMarket($E22,L$1)</f>
        <v/>
      </c>
      <c r="M22" t="str">
        <f>_xll.RssFOPMarket($E22,M$1)</f>
        <v/>
      </c>
      <c r="N22" t="str">
        <f>_xll.RssFOPMarket($E22,N$1)</f>
        <v/>
      </c>
      <c r="O22" t="str">
        <f>_xll.RssFOPMarket($E22,O$1)</f>
        <v/>
      </c>
      <c r="P22" t="str">
        <f>_xll.RssFOPMarket($E22,P$1)</f>
        <v/>
      </c>
      <c r="Q22" t="str">
        <f>_xll.RssFOPMarket($E22,Q$1)</f>
        <v/>
      </c>
    </row>
    <row r="23" spans="1:17" x14ac:dyDescent="0.4">
      <c r="A23" t="str">
        <f t="shared" si="0"/>
        <v>N225MOP</v>
      </c>
      <c r="B23" t="str">
        <f t="shared" si="0"/>
        <v>202310#3</v>
      </c>
      <c r="C23" t="str">
        <f t="shared" si="0"/>
        <v>C</v>
      </c>
      <c r="D23">
        <f t="shared" si="1"/>
        <v>33875</v>
      </c>
      <c r="E23" t="str">
        <f>_xll.RssFOPCode(A23,B23,IF(C23="C",1,IF(C23="P",2,"")),D23)</f>
        <v>マーケットスピード II にログインして「接続中」の状態に変更してから利用してください。</v>
      </c>
      <c r="F23" t="str">
        <f>_xll.RssFOPMarket($E23,F$1)</f>
        <v/>
      </c>
      <c r="G23" t="str">
        <f>_xll.RssFOPMarket($E23,G$1)</f>
        <v/>
      </c>
      <c r="H23" t="str">
        <f>_xll.RssFOPMarket($E23,H$1)</f>
        <v/>
      </c>
      <c r="I23" t="str">
        <f>_xll.RssFOPMarket($E23,I$1)</f>
        <v/>
      </c>
      <c r="J23" t="str">
        <f>_xll.RssFOPMarket($E23,J$1)</f>
        <v/>
      </c>
      <c r="K23" t="str">
        <f>_xll.RssFOPMarket($E23,K$1)</f>
        <v/>
      </c>
      <c r="L23" t="str">
        <f>_xll.RssFOPMarket($E23,L$1)</f>
        <v/>
      </c>
      <c r="M23" t="str">
        <f>_xll.RssFOPMarket($E23,M$1)</f>
        <v/>
      </c>
      <c r="N23" t="str">
        <f>_xll.RssFOPMarket($E23,N$1)</f>
        <v/>
      </c>
      <c r="O23" t="str">
        <f>_xll.RssFOPMarket($E23,O$1)</f>
        <v/>
      </c>
      <c r="P23" t="str">
        <f>_xll.RssFOPMarket($E23,P$1)</f>
        <v/>
      </c>
      <c r="Q23" t="str">
        <f>_xll.RssFOPMarket($E23,Q$1)</f>
        <v/>
      </c>
    </row>
    <row r="24" spans="1:17" x14ac:dyDescent="0.4">
      <c r="A24" t="str">
        <f t="shared" si="0"/>
        <v>N225MOP</v>
      </c>
      <c r="B24" t="str">
        <f t="shared" si="0"/>
        <v>202310#3</v>
      </c>
      <c r="C24" t="str">
        <f t="shared" si="0"/>
        <v>C</v>
      </c>
      <c r="D24">
        <f t="shared" si="1"/>
        <v>33750</v>
      </c>
      <c r="E24" t="str">
        <f>_xll.RssFOPCode(A24,B24,IF(C24="C",1,IF(C24="P",2,"")),D24)</f>
        <v>マーケットスピード II にログインして「接続中」の状態に変更してから利用してください。</v>
      </c>
      <c r="F24" t="str">
        <f>_xll.RssFOPMarket($E24,F$1)</f>
        <v/>
      </c>
      <c r="G24" t="str">
        <f>_xll.RssFOPMarket($E24,G$1)</f>
        <v/>
      </c>
      <c r="H24" t="str">
        <f>_xll.RssFOPMarket($E24,H$1)</f>
        <v/>
      </c>
      <c r="I24" t="str">
        <f>_xll.RssFOPMarket($E24,I$1)</f>
        <v/>
      </c>
      <c r="J24" t="str">
        <f>_xll.RssFOPMarket($E24,J$1)</f>
        <v/>
      </c>
      <c r="K24" t="str">
        <f>_xll.RssFOPMarket($E24,K$1)</f>
        <v/>
      </c>
      <c r="L24" t="str">
        <f>_xll.RssFOPMarket($E24,L$1)</f>
        <v/>
      </c>
      <c r="M24" t="str">
        <f>_xll.RssFOPMarket($E24,M$1)</f>
        <v/>
      </c>
      <c r="N24" t="str">
        <f>_xll.RssFOPMarket($E24,N$1)</f>
        <v/>
      </c>
      <c r="O24" t="str">
        <f>_xll.RssFOPMarket($E24,O$1)</f>
        <v/>
      </c>
      <c r="P24" t="str">
        <f>_xll.RssFOPMarket($E24,P$1)</f>
        <v/>
      </c>
      <c r="Q24" t="str">
        <f>_xll.RssFOPMarket($E24,Q$1)</f>
        <v/>
      </c>
    </row>
    <row r="25" spans="1:17" x14ac:dyDescent="0.4">
      <c r="A25" t="str">
        <f t="shared" si="0"/>
        <v>N225MOP</v>
      </c>
      <c r="B25" t="str">
        <f t="shared" si="0"/>
        <v>202310#3</v>
      </c>
      <c r="C25" t="str">
        <f t="shared" si="0"/>
        <v>C</v>
      </c>
      <c r="D25">
        <f t="shared" si="1"/>
        <v>33625</v>
      </c>
      <c r="E25" t="str">
        <f>_xll.RssFOPCode(A25,B25,IF(C25="C",1,IF(C25="P",2,"")),D25)</f>
        <v>マーケットスピード II にログインして「接続中」の状態に変更してから利用してください。</v>
      </c>
      <c r="F25" t="str">
        <f>_xll.RssFOPMarket($E25,F$1)</f>
        <v/>
      </c>
      <c r="G25" t="str">
        <f>_xll.RssFOPMarket($E25,G$1)</f>
        <v/>
      </c>
      <c r="H25" t="str">
        <f>_xll.RssFOPMarket($E25,H$1)</f>
        <v/>
      </c>
      <c r="I25" t="str">
        <f>_xll.RssFOPMarket($E25,I$1)</f>
        <v/>
      </c>
      <c r="J25" t="str">
        <f>_xll.RssFOPMarket($E25,J$1)</f>
        <v/>
      </c>
      <c r="K25" t="str">
        <f>_xll.RssFOPMarket($E25,K$1)</f>
        <v/>
      </c>
      <c r="L25" t="str">
        <f>_xll.RssFOPMarket($E25,L$1)</f>
        <v/>
      </c>
      <c r="M25" t="str">
        <f>_xll.RssFOPMarket($E25,M$1)</f>
        <v/>
      </c>
      <c r="N25" t="str">
        <f>_xll.RssFOPMarket($E25,N$1)</f>
        <v/>
      </c>
      <c r="O25" t="str">
        <f>_xll.RssFOPMarket($E25,O$1)</f>
        <v/>
      </c>
      <c r="P25" t="str">
        <f>_xll.RssFOPMarket($E25,P$1)</f>
        <v/>
      </c>
      <c r="Q25" t="str">
        <f>_xll.RssFOPMarket($E25,Q$1)</f>
        <v/>
      </c>
    </row>
    <row r="26" spans="1:17" x14ac:dyDescent="0.4">
      <c r="A26" t="str">
        <f t="shared" si="0"/>
        <v>N225MOP</v>
      </c>
      <c r="B26" t="str">
        <f t="shared" si="0"/>
        <v>202310#3</v>
      </c>
      <c r="C26" t="str">
        <f t="shared" si="0"/>
        <v>C</v>
      </c>
      <c r="D26">
        <f t="shared" si="1"/>
        <v>33500</v>
      </c>
      <c r="E26" t="str">
        <f>_xll.RssFOPCode(A26,B26,IF(C26="C",1,IF(C26="P",2,"")),D26)</f>
        <v>マーケットスピード II にログインして「接続中」の状態に変更してから利用してください。</v>
      </c>
      <c r="F26" t="str">
        <f>_xll.RssFOPMarket($E26,F$1)</f>
        <v/>
      </c>
      <c r="G26" t="str">
        <f>_xll.RssFOPMarket($E26,G$1)</f>
        <v/>
      </c>
      <c r="H26" t="str">
        <f>_xll.RssFOPMarket($E26,H$1)</f>
        <v/>
      </c>
      <c r="I26" t="str">
        <f>_xll.RssFOPMarket($E26,I$1)</f>
        <v/>
      </c>
      <c r="J26" t="str">
        <f>_xll.RssFOPMarket($E26,J$1)</f>
        <v/>
      </c>
      <c r="K26" t="str">
        <f>_xll.RssFOPMarket($E26,K$1)</f>
        <v/>
      </c>
      <c r="L26" t="str">
        <f>_xll.RssFOPMarket($E26,L$1)</f>
        <v/>
      </c>
      <c r="M26" t="str">
        <f>_xll.RssFOPMarket($E26,M$1)</f>
        <v/>
      </c>
      <c r="N26" t="str">
        <f>_xll.RssFOPMarket($E26,N$1)</f>
        <v/>
      </c>
      <c r="O26" t="str">
        <f>_xll.RssFOPMarket($E26,O$1)</f>
        <v/>
      </c>
      <c r="P26" t="str">
        <f>_xll.RssFOPMarket($E26,P$1)</f>
        <v/>
      </c>
      <c r="Q26" t="str">
        <f>_xll.RssFOPMarket($E26,Q$1)</f>
        <v/>
      </c>
    </row>
    <row r="27" spans="1:17" x14ac:dyDescent="0.4">
      <c r="A27" t="str">
        <f t="shared" si="0"/>
        <v>N225MOP</v>
      </c>
      <c r="B27" t="str">
        <f t="shared" si="0"/>
        <v>202310#3</v>
      </c>
      <c r="C27" t="str">
        <f t="shared" si="0"/>
        <v>C</v>
      </c>
      <c r="D27">
        <f t="shared" si="1"/>
        <v>33375</v>
      </c>
      <c r="E27" t="str">
        <f>_xll.RssFOPCode(A27,B27,IF(C27="C",1,IF(C27="P",2,"")),D27)</f>
        <v>マーケットスピード II にログインして「接続中」の状態に変更してから利用してください。</v>
      </c>
      <c r="F27" t="str">
        <f>_xll.RssFOPMarket($E27,F$1)</f>
        <v/>
      </c>
      <c r="G27" t="str">
        <f>_xll.RssFOPMarket($E27,G$1)</f>
        <v/>
      </c>
      <c r="H27" t="str">
        <f>_xll.RssFOPMarket($E27,H$1)</f>
        <v/>
      </c>
      <c r="I27" t="str">
        <f>_xll.RssFOPMarket($E27,I$1)</f>
        <v/>
      </c>
      <c r="J27" t="str">
        <f>_xll.RssFOPMarket($E27,J$1)</f>
        <v/>
      </c>
      <c r="K27" t="str">
        <f>_xll.RssFOPMarket($E27,K$1)</f>
        <v/>
      </c>
      <c r="L27" t="str">
        <f>_xll.RssFOPMarket($E27,L$1)</f>
        <v/>
      </c>
      <c r="M27" t="str">
        <f>_xll.RssFOPMarket($E27,M$1)</f>
        <v/>
      </c>
      <c r="N27" t="str">
        <f>_xll.RssFOPMarket($E27,N$1)</f>
        <v/>
      </c>
      <c r="O27" t="str">
        <f>_xll.RssFOPMarket($E27,O$1)</f>
        <v/>
      </c>
      <c r="P27" t="str">
        <f>_xll.RssFOPMarket($E27,P$1)</f>
        <v/>
      </c>
      <c r="Q27" t="str">
        <f>_xll.RssFOPMarket($E27,Q$1)</f>
        <v/>
      </c>
    </row>
    <row r="28" spans="1:17" x14ac:dyDescent="0.4">
      <c r="A28" t="str">
        <f t="shared" si="0"/>
        <v>N225MOP</v>
      </c>
      <c r="B28" t="str">
        <f t="shared" si="0"/>
        <v>202310#3</v>
      </c>
      <c r="C28" t="str">
        <f t="shared" si="0"/>
        <v>C</v>
      </c>
      <c r="D28">
        <f t="shared" si="1"/>
        <v>33250</v>
      </c>
      <c r="E28" t="str">
        <f>_xll.RssFOPCode(A28,B28,IF(C28="C",1,IF(C28="P",2,"")),D28)</f>
        <v>マーケットスピード II にログインして「接続中」の状態に変更してから利用してください。</v>
      </c>
      <c r="F28" t="str">
        <f>_xll.RssFOPMarket($E28,F$1)</f>
        <v/>
      </c>
      <c r="G28" t="str">
        <f>_xll.RssFOPMarket($E28,G$1)</f>
        <v/>
      </c>
      <c r="H28" t="str">
        <f>_xll.RssFOPMarket($E28,H$1)</f>
        <v/>
      </c>
      <c r="I28" t="str">
        <f>_xll.RssFOPMarket($E28,I$1)</f>
        <v/>
      </c>
      <c r="J28" t="str">
        <f>_xll.RssFOPMarket($E28,J$1)</f>
        <v/>
      </c>
      <c r="K28" t="str">
        <f>_xll.RssFOPMarket($E28,K$1)</f>
        <v/>
      </c>
      <c r="L28" t="str">
        <f>_xll.RssFOPMarket($E28,L$1)</f>
        <v/>
      </c>
      <c r="M28" t="str">
        <f>_xll.RssFOPMarket($E28,M$1)</f>
        <v/>
      </c>
      <c r="N28" t="str">
        <f>_xll.RssFOPMarket($E28,N$1)</f>
        <v/>
      </c>
      <c r="O28" t="str">
        <f>_xll.RssFOPMarket($E28,O$1)</f>
        <v/>
      </c>
      <c r="P28" t="str">
        <f>_xll.RssFOPMarket($E28,P$1)</f>
        <v/>
      </c>
      <c r="Q28" t="str">
        <f>_xll.RssFOPMarket($E28,Q$1)</f>
        <v/>
      </c>
    </row>
    <row r="29" spans="1:17" x14ac:dyDescent="0.4">
      <c r="A29" t="str">
        <f t="shared" si="0"/>
        <v>N225MOP</v>
      </c>
      <c r="B29" t="str">
        <f t="shared" si="0"/>
        <v>202310#3</v>
      </c>
      <c r="C29" t="str">
        <f t="shared" si="0"/>
        <v>C</v>
      </c>
      <c r="D29">
        <f t="shared" si="1"/>
        <v>33125</v>
      </c>
      <c r="E29" t="str">
        <f>_xll.RssFOPCode(A29,B29,IF(C29="C",1,IF(C29="P",2,"")),D29)</f>
        <v>マーケットスピード II にログインして「接続中」の状態に変更してから利用してください。</v>
      </c>
      <c r="F29" t="str">
        <f>_xll.RssFOPMarket($E29,F$1)</f>
        <v/>
      </c>
      <c r="G29" t="str">
        <f>_xll.RssFOPMarket($E29,G$1)</f>
        <v/>
      </c>
      <c r="H29" t="str">
        <f>_xll.RssFOPMarket($E29,H$1)</f>
        <v/>
      </c>
      <c r="I29" t="str">
        <f>_xll.RssFOPMarket($E29,I$1)</f>
        <v/>
      </c>
      <c r="J29" t="str">
        <f>_xll.RssFOPMarket($E29,J$1)</f>
        <v/>
      </c>
      <c r="K29" t="str">
        <f>_xll.RssFOPMarket($E29,K$1)</f>
        <v/>
      </c>
      <c r="L29" t="str">
        <f>_xll.RssFOPMarket($E29,L$1)</f>
        <v/>
      </c>
      <c r="M29" t="str">
        <f>_xll.RssFOPMarket($E29,M$1)</f>
        <v/>
      </c>
      <c r="N29" t="str">
        <f>_xll.RssFOPMarket($E29,N$1)</f>
        <v/>
      </c>
      <c r="O29" t="str">
        <f>_xll.RssFOPMarket($E29,O$1)</f>
        <v/>
      </c>
      <c r="P29" t="str">
        <f>_xll.RssFOPMarket($E29,P$1)</f>
        <v/>
      </c>
      <c r="Q29" t="str">
        <f>_xll.RssFOPMarket($E29,Q$1)</f>
        <v/>
      </c>
    </row>
    <row r="30" spans="1:17" x14ac:dyDescent="0.4">
      <c r="A30" t="str">
        <f t="shared" si="0"/>
        <v>N225MOP</v>
      </c>
      <c r="B30" t="str">
        <f t="shared" si="0"/>
        <v>202310#3</v>
      </c>
      <c r="C30" t="str">
        <f t="shared" si="0"/>
        <v>C</v>
      </c>
      <c r="D30">
        <f t="shared" si="1"/>
        <v>33000</v>
      </c>
      <c r="E30" t="str">
        <f>_xll.RssFOPCode(A30,B30,IF(C30="C",1,IF(C30="P",2,"")),D30)</f>
        <v>マーケットスピード II にログインして「接続中」の状態に変更してから利用してください。</v>
      </c>
      <c r="F30" t="str">
        <f>_xll.RssFOPMarket($E30,F$1)</f>
        <v/>
      </c>
      <c r="G30" t="str">
        <f>_xll.RssFOPMarket($E30,G$1)</f>
        <v/>
      </c>
      <c r="H30" t="str">
        <f>_xll.RssFOPMarket($E30,H$1)</f>
        <v/>
      </c>
      <c r="I30" t="str">
        <f>_xll.RssFOPMarket($E30,I$1)</f>
        <v/>
      </c>
      <c r="J30" t="str">
        <f>_xll.RssFOPMarket($E30,J$1)</f>
        <v/>
      </c>
      <c r="K30" t="str">
        <f>_xll.RssFOPMarket($E30,K$1)</f>
        <v/>
      </c>
      <c r="L30" t="str">
        <f>_xll.RssFOPMarket($E30,L$1)</f>
        <v/>
      </c>
      <c r="M30" t="str">
        <f>_xll.RssFOPMarket($E30,M$1)</f>
        <v/>
      </c>
      <c r="N30" t="str">
        <f>_xll.RssFOPMarket($E30,N$1)</f>
        <v/>
      </c>
      <c r="O30" t="str">
        <f>_xll.RssFOPMarket($E30,O$1)</f>
        <v/>
      </c>
      <c r="P30" t="str">
        <f>_xll.RssFOPMarket($E30,P$1)</f>
        <v/>
      </c>
      <c r="Q30" t="str">
        <f>_xll.RssFOPMarket($E30,Q$1)</f>
        <v/>
      </c>
    </row>
    <row r="31" spans="1:17" x14ac:dyDescent="0.4">
      <c r="A31" t="str">
        <f t="shared" si="0"/>
        <v>N225MOP</v>
      </c>
      <c r="B31" t="str">
        <f t="shared" si="0"/>
        <v>202310#3</v>
      </c>
      <c r="C31" t="str">
        <f t="shared" si="0"/>
        <v>C</v>
      </c>
      <c r="D31">
        <f t="shared" si="1"/>
        <v>32875</v>
      </c>
      <c r="E31" t="str">
        <f>_xll.RssFOPCode(A31,B31,IF(C31="C",1,IF(C31="P",2,"")),D31)</f>
        <v>マーケットスピード II にログインして「接続中」の状態に変更してから利用してください。</v>
      </c>
      <c r="F31" t="str">
        <f>_xll.RssFOPMarket($E31,F$1)</f>
        <v/>
      </c>
      <c r="G31" t="str">
        <f>_xll.RssFOPMarket($E31,G$1)</f>
        <v/>
      </c>
      <c r="H31" t="str">
        <f>_xll.RssFOPMarket($E31,H$1)</f>
        <v/>
      </c>
      <c r="I31" t="str">
        <f>_xll.RssFOPMarket($E31,I$1)</f>
        <v/>
      </c>
      <c r="J31" t="str">
        <f>_xll.RssFOPMarket($E31,J$1)</f>
        <v/>
      </c>
      <c r="K31" t="str">
        <f>_xll.RssFOPMarket($E31,K$1)</f>
        <v/>
      </c>
      <c r="L31" t="str">
        <f>_xll.RssFOPMarket($E31,L$1)</f>
        <v/>
      </c>
      <c r="M31" t="str">
        <f>_xll.RssFOPMarket($E31,M$1)</f>
        <v/>
      </c>
      <c r="N31" t="str">
        <f>_xll.RssFOPMarket($E31,N$1)</f>
        <v/>
      </c>
      <c r="O31" t="str">
        <f>_xll.RssFOPMarket($E31,O$1)</f>
        <v/>
      </c>
      <c r="P31" t="str">
        <f>_xll.RssFOPMarket($E31,P$1)</f>
        <v/>
      </c>
      <c r="Q31" t="str">
        <f>_xll.RssFOPMarket($E31,Q$1)</f>
        <v/>
      </c>
    </row>
    <row r="32" spans="1:17" x14ac:dyDescent="0.4">
      <c r="A32" t="str">
        <f t="shared" si="0"/>
        <v>N225MOP</v>
      </c>
      <c r="B32" t="str">
        <f t="shared" si="0"/>
        <v>202310#3</v>
      </c>
      <c r="C32" t="str">
        <f t="shared" si="0"/>
        <v>C</v>
      </c>
      <c r="D32">
        <f t="shared" si="1"/>
        <v>32750</v>
      </c>
      <c r="E32" t="str">
        <f>_xll.RssFOPCode(A32,B32,IF(C32="C",1,IF(C32="P",2,"")),D32)</f>
        <v>マーケットスピード II にログインして「接続中」の状態に変更してから利用してください。</v>
      </c>
      <c r="F32" t="str">
        <f>_xll.RssFOPMarket($E32,F$1)</f>
        <v/>
      </c>
      <c r="G32" t="str">
        <f>_xll.RssFOPMarket($E32,G$1)</f>
        <v/>
      </c>
      <c r="H32" t="str">
        <f>_xll.RssFOPMarket($E32,H$1)</f>
        <v/>
      </c>
      <c r="I32" t="str">
        <f>_xll.RssFOPMarket($E32,I$1)</f>
        <v/>
      </c>
      <c r="J32" t="str">
        <f>_xll.RssFOPMarket($E32,J$1)</f>
        <v/>
      </c>
      <c r="K32" t="str">
        <f>_xll.RssFOPMarket($E32,K$1)</f>
        <v/>
      </c>
      <c r="L32" t="str">
        <f>_xll.RssFOPMarket($E32,L$1)</f>
        <v/>
      </c>
      <c r="M32" t="str">
        <f>_xll.RssFOPMarket($E32,M$1)</f>
        <v/>
      </c>
      <c r="N32" t="str">
        <f>_xll.RssFOPMarket($E32,N$1)</f>
        <v/>
      </c>
      <c r="O32" t="str">
        <f>_xll.RssFOPMarket($E32,O$1)</f>
        <v/>
      </c>
      <c r="P32" t="str">
        <f>_xll.RssFOPMarket($E32,P$1)</f>
        <v/>
      </c>
      <c r="Q32" t="str">
        <f>_xll.RssFOPMarket($E32,Q$1)</f>
        <v/>
      </c>
    </row>
    <row r="33" spans="1:17" x14ac:dyDescent="0.4">
      <c r="A33" t="str">
        <f t="shared" si="0"/>
        <v>N225MOP</v>
      </c>
      <c r="B33" t="str">
        <f t="shared" si="0"/>
        <v>202310#3</v>
      </c>
      <c r="C33" t="str">
        <f t="shared" si="0"/>
        <v>C</v>
      </c>
      <c r="D33">
        <f t="shared" si="1"/>
        <v>32625</v>
      </c>
      <c r="E33" t="str">
        <f>_xll.RssFOPCode(A33,B33,IF(C33="C",1,IF(C33="P",2,"")),D33)</f>
        <v>マーケットスピード II にログインして「接続中」の状態に変更してから利用してください。</v>
      </c>
      <c r="F33" t="str">
        <f>_xll.RssFOPMarket($E33,F$1)</f>
        <v/>
      </c>
      <c r="G33" t="str">
        <f>_xll.RssFOPMarket($E33,G$1)</f>
        <v/>
      </c>
      <c r="H33" t="str">
        <f>_xll.RssFOPMarket($E33,H$1)</f>
        <v/>
      </c>
      <c r="I33" t="str">
        <f>_xll.RssFOPMarket($E33,I$1)</f>
        <v/>
      </c>
      <c r="J33" t="str">
        <f>_xll.RssFOPMarket($E33,J$1)</f>
        <v/>
      </c>
      <c r="K33" t="str">
        <f>_xll.RssFOPMarket($E33,K$1)</f>
        <v/>
      </c>
      <c r="L33" t="str">
        <f>_xll.RssFOPMarket($E33,L$1)</f>
        <v/>
      </c>
      <c r="M33" t="str">
        <f>_xll.RssFOPMarket($E33,M$1)</f>
        <v/>
      </c>
      <c r="N33" t="str">
        <f>_xll.RssFOPMarket($E33,N$1)</f>
        <v/>
      </c>
      <c r="O33" t="str">
        <f>_xll.RssFOPMarket($E33,O$1)</f>
        <v/>
      </c>
      <c r="P33" t="str">
        <f>_xll.RssFOPMarket($E33,P$1)</f>
        <v/>
      </c>
      <c r="Q33" t="str">
        <f>_xll.RssFOPMarket($E33,Q$1)</f>
        <v/>
      </c>
    </row>
    <row r="34" spans="1:17" x14ac:dyDescent="0.4">
      <c r="A34" t="str">
        <f t="shared" si="0"/>
        <v>N225MOP</v>
      </c>
      <c r="B34" t="str">
        <f t="shared" si="0"/>
        <v>202310#3</v>
      </c>
      <c r="C34" t="str">
        <f t="shared" si="0"/>
        <v>C</v>
      </c>
      <c r="D34">
        <f t="shared" si="1"/>
        <v>32500</v>
      </c>
      <c r="E34" t="str">
        <f>_xll.RssFOPCode(A34,B34,IF(C34="C",1,IF(C34="P",2,"")),D34)</f>
        <v>マーケットスピード II にログインして「接続中」の状態に変更してから利用してください。</v>
      </c>
      <c r="F34" t="str">
        <f>_xll.RssFOPMarket($E34,F$1)</f>
        <v/>
      </c>
      <c r="G34" t="str">
        <f>_xll.RssFOPMarket($E34,G$1)</f>
        <v/>
      </c>
      <c r="H34" t="str">
        <f>_xll.RssFOPMarket($E34,H$1)</f>
        <v/>
      </c>
      <c r="I34" t="str">
        <f>_xll.RssFOPMarket($E34,I$1)</f>
        <v/>
      </c>
      <c r="J34" t="str">
        <f>_xll.RssFOPMarket($E34,J$1)</f>
        <v/>
      </c>
      <c r="K34" t="str">
        <f>_xll.RssFOPMarket($E34,K$1)</f>
        <v/>
      </c>
      <c r="L34" t="str">
        <f>_xll.RssFOPMarket($E34,L$1)</f>
        <v/>
      </c>
      <c r="M34" t="str">
        <f>_xll.RssFOPMarket($E34,M$1)</f>
        <v/>
      </c>
      <c r="N34" t="str">
        <f>_xll.RssFOPMarket($E34,N$1)</f>
        <v/>
      </c>
      <c r="O34" t="str">
        <f>_xll.RssFOPMarket($E34,O$1)</f>
        <v/>
      </c>
      <c r="P34" t="str">
        <f>_xll.RssFOPMarket($E34,P$1)</f>
        <v/>
      </c>
      <c r="Q34" t="str">
        <f>_xll.RssFOPMarket($E34,Q$1)</f>
        <v/>
      </c>
    </row>
    <row r="35" spans="1:17" x14ac:dyDescent="0.4">
      <c r="A35" t="str">
        <f t="shared" si="0"/>
        <v>N225MOP</v>
      </c>
      <c r="B35" t="str">
        <f t="shared" si="0"/>
        <v>202310#3</v>
      </c>
      <c r="C35" t="str">
        <f t="shared" si="0"/>
        <v>C</v>
      </c>
      <c r="D35">
        <f t="shared" si="1"/>
        <v>32375</v>
      </c>
      <c r="E35" t="str">
        <f>_xll.RssFOPCode(A35,B35,IF(C35="C",1,IF(C35="P",2,"")),D35)</f>
        <v>マーケットスピード II にログインして「接続中」の状態に変更してから利用してください。</v>
      </c>
      <c r="F35" t="str">
        <f>_xll.RssFOPMarket($E35,F$1)</f>
        <v/>
      </c>
      <c r="G35" t="str">
        <f>_xll.RssFOPMarket($E35,G$1)</f>
        <v/>
      </c>
      <c r="H35" t="str">
        <f>_xll.RssFOPMarket($E35,H$1)</f>
        <v/>
      </c>
      <c r="I35" t="str">
        <f>_xll.RssFOPMarket($E35,I$1)</f>
        <v/>
      </c>
      <c r="J35" t="str">
        <f>_xll.RssFOPMarket($E35,J$1)</f>
        <v/>
      </c>
      <c r="K35" t="str">
        <f>_xll.RssFOPMarket($E35,K$1)</f>
        <v/>
      </c>
      <c r="L35" t="str">
        <f>_xll.RssFOPMarket($E35,L$1)</f>
        <v/>
      </c>
      <c r="M35" t="str">
        <f>_xll.RssFOPMarket($E35,M$1)</f>
        <v/>
      </c>
      <c r="N35" t="str">
        <f>_xll.RssFOPMarket($E35,N$1)</f>
        <v/>
      </c>
      <c r="O35" t="str">
        <f>_xll.RssFOPMarket($E35,O$1)</f>
        <v/>
      </c>
      <c r="P35" t="str">
        <f>_xll.RssFOPMarket($E35,P$1)</f>
        <v/>
      </c>
      <c r="Q35" t="str">
        <f>_xll.RssFOPMarket($E35,Q$1)</f>
        <v/>
      </c>
    </row>
    <row r="36" spans="1:17" x14ac:dyDescent="0.4">
      <c r="A36" t="str">
        <f t="shared" si="0"/>
        <v>N225MOP</v>
      </c>
      <c r="B36" t="str">
        <f t="shared" si="0"/>
        <v>202310#3</v>
      </c>
      <c r="C36" t="str">
        <f t="shared" si="0"/>
        <v>C</v>
      </c>
      <c r="D36">
        <f t="shared" si="1"/>
        <v>32250</v>
      </c>
      <c r="E36" t="str">
        <f>_xll.RssFOPCode(A36,B36,IF(C36="C",1,IF(C36="P",2,"")),D36)</f>
        <v>マーケットスピード II にログインして「接続中」の状態に変更してから利用してください。</v>
      </c>
      <c r="F36" t="str">
        <f>_xll.RssFOPMarket($E36,F$1)</f>
        <v/>
      </c>
      <c r="G36" t="str">
        <f>_xll.RssFOPMarket($E36,G$1)</f>
        <v/>
      </c>
      <c r="H36" t="str">
        <f>_xll.RssFOPMarket($E36,H$1)</f>
        <v/>
      </c>
      <c r="I36" t="str">
        <f>_xll.RssFOPMarket($E36,I$1)</f>
        <v/>
      </c>
      <c r="J36" t="str">
        <f>_xll.RssFOPMarket($E36,J$1)</f>
        <v/>
      </c>
      <c r="K36" t="str">
        <f>_xll.RssFOPMarket($E36,K$1)</f>
        <v/>
      </c>
      <c r="L36" t="str">
        <f>_xll.RssFOPMarket($E36,L$1)</f>
        <v/>
      </c>
      <c r="M36" t="str">
        <f>_xll.RssFOPMarket($E36,M$1)</f>
        <v/>
      </c>
      <c r="N36" t="str">
        <f>_xll.RssFOPMarket($E36,N$1)</f>
        <v/>
      </c>
      <c r="O36" t="str">
        <f>_xll.RssFOPMarket($E36,O$1)</f>
        <v/>
      </c>
      <c r="P36" t="str">
        <f>_xll.RssFOPMarket($E36,P$1)</f>
        <v/>
      </c>
      <c r="Q36" t="str">
        <f>_xll.RssFOPMarket($E36,Q$1)</f>
        <v/>
      </c>
    </row>
    <row r="37" spans="1:17" x14ac:dyDescent="0.4">
      <c r="A37" t="str">
        <f t="shared" si="0"/>
        <v>N225MOP</v>
      </c>
      <c r="B37" t="str">
        <f t="shared" si="0"/>
        <v>202310#3</v>
      </c>
      <c r="C37" t="str">
        <f t="shared" si="0"/>
        <v>C</v>
      </c>
      <c r="D37">
        <f t="shared" si="1"/>
        <v>32125</v>
      </c>
      <c r="E37" t="str">
        <f>_xll.RssFOPCode(A37,B37,IF(C37="C",1,IF(C37="P",2,"")),D37)</f>
        <v>マーケットスピード II にログインして「接続中」の状態に変更してから利用してください。</v>
      </c>
      <c r="F37" t="str">
        <f>_xll.RssFOPMarket($E37,F$1)</f>
        <v/>
      </c>
      <c r="G37" t="str">
        <f>_xll.RssFOPMarket($E37,G$1)</f>
        <v/>
      </c>
      <c r="H37" t="str">
        <f>_xll.RssFOPMarket($E37,H$1)</f>
        <v/>
      </c>
      <c r="I37" t="str">
        <f>_xll.RssFOPMarket($E37,I$1)</f>
        <v/>
      </c>
      <c r="J37" t="str">
        <f>_xll.RssFOPMarket($E37,J$1)</f>
        <v/>
      </c>
      <c r="K37" t="str">
        <f>_xll.RssFOPMarket($E37,K$1)</f>
        <v/>
      </c>
      <c r="L37" t="str">
        <f>_xll.RssFOPMarket($E37,L$1)</f>
        <v/>
      </c>
      <c r="M37" t="str">
        <f>_xll.RssFOPMarket($E37,M$1)</f>
        <v/>
      </c>
      <c r="N37" t="str">
        <f>_xll.RssFOPMarket($E37,N$1)</f>
        <v/>
      </c>
      <c r="O37" t="str">
        <f>_xll.RssFOPMarket($E37,O$1)</f>
        <v/>
      </c>
      <c r="P37" t="str">
        <f>_xll.RssFOPMarket($E37,P$1)</f>
        <v/>
      </c>
      <c r="Q37" t="str">
        <f>_xll.RssFOPMarket($E37,Q$1)</f>
        <v/>
      </c>
    </row>
    <row r="38" spans="1:17" x14ac:dyDescent="0.4">
      <c r="A38" t="str">
        <f t="shared" si="0"/>
        <v>N225MOP</v>
      </c>
      <c r="B38" t="str">
        <f t="shared" si="0"/>
        <v>202310#3</v>
      </c>
      <c r="C38" t="s">
        <v>15</v>
      </c>
      <c r="D38">
        <f t="shared" si="1"/>
        <v>32000</v>
      </c>
      <c r="E38" t="str">
        <f>_xll.RssFOPCode(A38,B38,IF(C38="C",1,IF(C38="P",2,"")),D38)</f>
        <v>マーケットスピード II にログインして「接続中」の状態に変更してから利用してください。</v>
      </c>
      <c r="F38" t="str">
        <f>_xll.RssFOPMarket($E38,F$1)</f>
        <v/>
      </c>
      <c r="G38" t="str">
        <f>_xll.RssFOPMarket($E38,G$1)</f>
        <v/>
      </c>
      <c r="H38" t="str">
        <f>_xll.RssFOPMarket($E38,H$1)</f>
        <v/>
      </c>
      <c r="I38" t="str">
        <f>_xll.RssFOPMarket($E38,I$1)</f>
        <v/>
      </c>
      <c r="J38" t="str">
        <f>_xll.RssFOPMarket($E38,J$1)</f>
        <v/>
      </c>
      <c r="K38" t="str">
        <f>_xll.RssFOPMarket($E38,K$1)</f>
        <v/>
      </c>
      <c r="L38" t="str">
        <f>_xll.RssFOPMarket($E38,L$1)</f>
        <v/>
      </c>
      <c r="M38" t="str">
        <f>_xll.RssFOPMarket($E38,M$1)</f>
        <v/>
      </c>
      <c r="N38" t="str">
        <f>_xll.RssFOPMarket($E38,N$1)</f>
        <v/>
      </c>
      <c r="O38" t="str">
        <f>_xll.RssFOPMarket($E38,O$1)</f>
        <v/>
      </c>
      <c r="P38" t="str">
        <f>_xll.RssFOPMarket($E38,P$1)</f>
        <v/>
      </c>
      <c r="Q38" t="str">
        <f>_xll.RssFOPMarket($E38,Q$1)</f>
        <v/>
      </c>
    </row>
    <row r="39" spans="1:17" x14ac:dyDescent="0.4">
      <c r="A39" t="str">
        <f t="shared" si="0"/>
        <v>N225MOP</v>
      </c>
      <c r="B39" t="str">
        <f t="shared" si="0"/>
        <v>202310#3</v>
      </c>
      <c r="C39" t="str">
        <f t="shared" si="0"/>
        <v>C</v>
      </c>
      <c r="D39">
        <f t="shared" si="1"/>
        <v>31875</v>
      </c>
      <c r="E39" t="str">
        <f>_xll.RssFOPCode(A39,B39,IF(C39="C",1,IF(C39="P",2,"")),D39)</f>
        <v>マーケットスピード II にログインして「接続中」の状態に変更してから利用してください。</v>
      </c>
      <c r="F39" t="str">
        <f>_xll.RssFOPMarket($E39,F$1)</f>
        <v/>
      </c>
      <c r="G39" t="str">
        <f>_xll.RssFOPMarket($E39,G$1)</f>
        <v/>
      </c>
      <c r="H39" t="str">
        <f>_xll.RssFOPMarket($E39,H$1)</f>
        <v/>
      </c>
      <c r="I39" t="str">
        <f>_xll.RssFOPMarket($E39,I$1)</f>
        <v/>
      </c>
      <c r="J39" t="str">
        <f>_xll.RssFOPMarket($E39,J$1)</f>
        <v/>
      </c>
      <c r="K39" t="str">
        <f>_xll.RssFOPMarket($E39,K$1)</f>
        <v/>
      </c>
      <c r="L39" t="str">
        <f>_xll.RssFOPMarket($E39,L$1)</f>
        <v/>
      </c>
      <c r="M39" t="str">
        <f>_xll.RssFOPMarket($E39,M$1)</f>
        <v/>
      </c>
      <c r="N39" t="str">
        <f>_xll.RssFOPMarket($E39,N$1)</f>
        <v/>
      </c>
      <c r="O39" t="str">
        <f>_xll.RssFOPMarket($E39,O$1)</f>
        <v/>
      </c>
      <c r="P39" t="str">
        <f>_xll.RssFOPMarket($E39,P$1)</f>
        <v/>
      </c>
      <c r="Q39" t="str">
        <f>_xll.RssFOPMarket($E39,Q$1)</f>
        <v/>
      </c>
    </row>
    <row r="40" spans="1:17" x14ac:dyDescent="0.4">
      <c r="A40" t="str">
        <f t="shared" si="0"/>
        <v>N225MOP</v>
      </c>
      <c r="B40" t="str">
        <f t="shared" si="0"/>
        <v>202310#3</v>
      </c>
      <c r="C40" t="str">
        <f t="shared" si="0"/>
        <v>C</v>
      </c>
      <c r="D40">
        <f t="shared" si="1"/>
        <v>31750</v>
      </c>
      <c r="E40" t="str">
        <f>_xll.RssFOPCode(A40,B40,IF(C40="C",1,IF(C40="P",2,"")),D40)</f>
        <v>マーケットスピード II にログインして「接続中」の状態に変更してから利用してください。</v>
      </c>
      <c r="F40" t="str">
        <f>_xll.RssFOPMarket($E40,F$1)</f>
        <v/>
      </c>
      <c r="G40" t="str">
        <f>_xll.RssFOPMarket($E40,G$1)</f>
        <v/>
      </c>
      <c r="H40" t="str">
        <f>_xll.RssFOPMarket($E40,H$1)</f>
        <v/>
      </c>
      <c r="I40" t="str">
        <f>_xll.RssFOPMarket($E40,I$1)</f>
        <v/>
      </c>
      <c r="J40" t="str">
        <f>_xll.RssFOPMarket($E40,J$1)</f>
        <v/>
      </c>
      <c r="K40" t="str">
        <f>_xll.RssFOPMarket($E40,K$1)</f>
        <v/>
      </c>
      <c r="L40" t="str">
        <f>_xll.RssFOPMarket($E40,L$1)</f>
        <v/>
      </c>
      <c r="M40" t="str">
        <f>_xll.RssFOPMarket($E40,M$1)</f>
        <v/>
      </c>
      <c r="N40" t="str">
        <f>_xll.RssFOPMarket($E40,N$1)</f>
        <v/>
      </c>
      <c r="O40" t="str">
        <f>_xll.RssFOPMarket($E40,O$1)</f>
        <v/>
      </c>
      <c r="P40" t="str">
        <f>_xll.RssFOPMarket($E40,P$1)</f>
        <v/>
      </c>
      <c r="Q40" t="str">
        <f>_xll.RssFOPMarket($E40,Q$1)</f>
        <v/>
      </c>
    </row>
    <row r="41" spans="1:17" x14ac:dyDescent="0.4">
      <c r="A41" t="str">
        <f t="shared" si="0"/>
        <v>N225MOP</v>
      </c>
      <c r="B41" t="str">
        <f t="shared" si="0"/>
        <v>202310#3</v>
      </c>
      <c r="C41" t="str">
        <f t="shared" si="0"/>
        <v>C</v>
      </c>
      <c r="D41">
        <f t="shared" si="1"/>
        <v>31625</v>
      </c>
      <c r="E41" t="str">
        <f>_xll.RssFOPCode(A41,B41,IF(C41="C",1,IF(C41="P",2,"")),D41)</f>
        <v>マーケットスピード II にログインして「接続中」の状態に変更してから利用してください。</v>
      </c>
      <c r="F41" t="str">
        <f>_xll.RssFOPMarket($E41,F$1)</f>
        <v/>
      </c>
      <c r="G41" t="str">
        <f>_xll.RssFOPMarket($E41,G$1)</f>
        <v/>
      </c>
      <c r="H41" t="str">
        <f>_xll.RssFOPMarket($E41,H$1)</f>
        <v/>
      </c>
      <c r="I41" t="str">
        <f>_xll.RssFOPMarket($E41,I$1)</f>
        <v/>
      </c>
      <c r="J41" t="str">
        <f>_xll.RssFOPMarket($E41,J$1)</f>
        <v/>
      </c>
      <c r="K41" t="str">
        <f>_xll.RssFOPMarket($E41,K$1)</f>
        <v/>
      </c>
      <c r="L41" t="str">
        <f>_xll.RssFOPMarket($E41,L$1)</f>
        <v/>
      </c>
      <c r="M41" t="str">
        <f>_xll.RssFOPMarket($E41,M$1)</f>
        <v/>
      </c>
      <c r="N41" t="str">
        <f>_xll.RssFOPMarket($E41,N$1)</f>
        <v/>
      </c>
      <c r="O41" t="str">
        <f>_xll.RssFOPMarket($E41,O$1)</f>
        <v/>
      </c>
      <c r="P41" t="str">
        <f>_xll.RssFOPMarket($E41,P$1)</f>
        <v/>
      </c>
      <c r="Q41" t="str">
        <f>_xll.RssFOPMarket($E41,Q$1)</f>
        <v/>
      </c>
    </row>
    <row r="42" spans="1:17" x14ac:dyDescent="0.4">
      <c r="A42" t="str">
        <f t="shared" si="0"/>
        <v>N225MOP</v>
      </c>
      <c r="B42" t="str">
        <f t="shared" si="0"/>
        <v>202310#3</v>
      </c>
      <c r="C42" t="str">
        <f t="shared" si="0"/>
        <v>C</v>
      </c>
      <c r="D42">
        <f t="shared" si="1"/>
        <v>31500</v>
      </c>
      <c r="E42" t="str">
        <f>_xll.RssFOPCode(A42,B42,IF(C42="C",1,IF(C42="P",2,"")),D42)</f>
        <v>マーケットスピード II にログインして「接続中」の状態に変更してから利用してください。</v>
      </c>
      <c r="F42" t="str">
        <f>_xll.RssFOPMarket($E42,F$1)</f>
        <v/>
      </c>
      <c r="G42" t="str">
        <f>_xll.RssFOPMarket($E42,G$1)</f>
        <v/>
      </c>
      <c r="H42" t="str">
        <f>_xll.RssFOPMarket($E42,H$1)</f>
        <v/>
      </c>
      <c r="I42" t="str">
        <f>_xll.RssFOPMarket($E42,I$1)</f>
        <v/>
      </c>
      <c r="J42" t="str">
        <f>_xll.RssFOPMarket($E42,J$1)</f>
        <v/>
      </c>
      <c r="K42" t="str">
        <f>_xll.RssFOPMarket($E42,K$1)</f>
        <v/>
      </c>
      <c r="L42" t="str">
        <f>_xll.RssFOPMarket($E42,L$1)</f>
        <v/>
      </c>
      <c r="M42" t="str">
        <f>_xll.RssFOPMarket($E42,M$1)</f>
        <v/>
      </c>
      <c r="N42" t="str">
        <f>_xll.RssFOPMarket($E42,N$1)</f>
        <v/>
      </c>
      <c r="O42" t="str">
        <f>_xll.RssFOPMarket($E42,O$1)</f>
        <v/>
      </c>
      <c r="P42" t="str">
        <f>_xll.RssFOPMarket($E42,P$1)</f>
        <v/>
      </c>
      <c r="Q42" t="str">
        <f>_xll.RssFOPMarket($E42,Q$1)</f>
        <v/>
      </c>
    </row>
    <row r="43" spans="1:17" x14ac:dyDescent="0.4">
      <c r="A43" t="str">
        <f t="shared" si="0"/>
        <v>N225MOP</v>
      </c>
      <c r="B43" t="str">
        <f t="shared" si="0"/>
        <v>202310#3</v>
      </c>
      <c r="C43" t="str">
        <f t="shared" si="0"/>
        <v>C</v>
      </c>
      <c r="D43">
        <f t="shared" si="1"/>
        <v>31375</v>
      </c>
      <c r="E43" t="str">
        <f>_xll.RssFOPCode(A43,B43,IF(C43="C",1,IF(C43="P",2,"")),D43)</f>
        <v>マーケットスピード II にログインして「接続中」の状態に変更してから利用してください。</v>
      </c>
      <c r="F43" t="str">
        <f>_xll.RssFOPMarket($E43,F$1)</f>
        <v/>
      </c>
      <c r="G43" t="str">
        <f>_xll.RssFOPMarket($E43,G$1)</f>
        <v/>
      </c>
      <c r="H43" t="str">
        <f>_xll.RssFOPMarket($E43,H$1)</f>
        <v/>
      </c>
      <c r="I43" t="str">
        <f>_xll.RssFOPMarket($E43,I$1)</f>
        <v/>
      </c>
      <c r="J43" t="str">
        <f>_xll.RssFOPMarket($E43,J$1)</f>
        <v/>
      </c>
      <c r="K43" t="str">
        <f>_xll.RssFOPMarket($E43,K$1)</f>
        <v/>
      </c>
      <c r="L43" t="str">
        <f>_xll.RssFOPMarket($E43,L$1)</f>
        <v/>
      </c>
      <c r="M43" t="str">
        <f>_xll.RssFOPMarket($E43,M$1)</f>
        <v/>
      </c>
      <c r="N43" t="str">
        <f>_xll.RssFOPMarket($E43,N$1)</f>
        <v/>
      </c>
      <c r="O43" t="str">
        <f>_xll.RssFOPMarket($E43,O$1)</f>
        <v/>
      </c>
      <c r="P43" t="str">
        <f>_xll.RssFOPMarket($E43,P$1)</f>
        <v/>
      </c>
      <c r="Q43" t="str">
        <f>_xll.RssFOPMarket($E43,Q$1)</f>
        <v/>
      </c>
    </row>
    <row r="44" spans="1:17" x14ac:dyDescent="0.4">
      <c r="A44" t="str">
        <f t="shared" si="0"/>
        <v>N225MOP</v>
      </c>
      <c r="B44" t="str">
        <f t="shared" si="0"/>
        <v>202310#3</v>
      </c>
      <c r="C44" t="str">
        <f t="shared" si="0"/>
        <v>C</v>
      </c>
      <c r="D44">
        <f t="shared" si="1"/>
        <v>31250</v>
      </c>
      <c r="E44" t="str">
        <f>_xll.RssFOPCode(A44,B44,IF(C44="C",1,IF(C44="P",2,"")),D44)</f>
        <v>マーケットスピード II にログインして「接続中」の状態に変更してから利用してください。</v>
      </c>
      <c r="F44" t="str">
        <f>_xll.RssFOPMarket($E44,F$1)</f>
        <v/>
      </c>
      <c r="G44" t="str">
        <f>_xll.RssFOPMarket($E44,G$1)</f>
        <v/>
      </c>
      <c r="H44" t="str">
        <f>_xll.RssFOPMarket($E44,H$1)</f>
        <v/>
      </c>
      <c r="I44" t="str">
        <f>_xll.RssFOPMarket($E44,I$1)</f>
        <v/>
      </c>
      <c r="J44" t="str">
        <f>_xll.RssFOPMarket($E44,J$1)</f>
        <v/>
      </c>
      <c r="K44" t="str">
        <f>_xll.RssFOPMarket($E44,K$1)</f>
        <v/>
      </c>
      <c r="L44" t="str">
        <f>_xll.RssFOPMarket($E44,L$1)</f>
        <v/>
      </c>
      <c r="M44" t="str">
        <f>_xll.RssFOPMarket($E44,M$1)</f>
        <v/>
      </c>
      <c r="N44" t="str">
        <f>_xll.RssFOPMarket($E44,N$1)</f>
        <v/>
      </c>
      <c r="O44" t="str">
        <f>_xll.RssFOPMarket($E44,O$1)</f>
        <v/>
      </c>
      <c r="P44" t="str">
        <f>_xll.RssFOPMarket($E44,P$1)</f>
        <v/>
      </c>
      <c r="Q44" t="str">
        <f>_xll.RssFOPMarket($E44,Q$1)</f>
        <v/>
      </c>
    </row>
    <row r="45" spans="1:17" x14ac:dyDescent="0.4">
      <c r="A45" t="str">
        <f t="shared" si="0"/>
        <v>N225MOP</v>
      </c>
      <c r="B45" t="str">
        <f t="shared" si="0"/>
        <v>202310#3</v>
      </c>
      <c r="C45" t="str">
        <f t="shared" si="0"/>
        <v>C</v>
      </c>
      <c r="D45">
        <f t="shared" si="1"/>
        <v>31125</v>
      </c>
      <c r="E45" t="str">
        <f>_xll.RssFOPCode(A45,B45,IF(C45="C",1,IF(C45="P",2,"")),D45)</f>
        <v>マーケットスピード II にログインして「接続中」の状態に変更してから利用してください。</v>
      </c>
      <c r="F45" t="str">
        <f>_xll.RssFOPMarket($E45,F$1)</f>
        <v/>
      </c>
      <c r="G45" t="str">
        <f>_xll.RssFOPMarket($E45,G$1)</f>
        <v/>
      </c>
      <c r="H45" t="str">
        <f>_xll.RssFOPMarket($E45,H$1)</f>
        <v/>
      </c>
      <c r="I45" t="str">
        <f>_xll.RssFOPMarket($E45,I$1)</f>
        <v/>
      </c>
      <c r="J45" t="str">
        <f>_xll.RssFOPMarket($E45,J$1)</f>
        <v/>
      </c>
      <c r="K45" t="str">
        <f>_xll.RssFOPMarket($E45,K$1)</f>
        <v/>
      </c>
      <c r="L45" t="str">
        <f>_xll.RssFOPMarket($E45,L$1)</f>
        <v/>
      </c>
      <c r="M45" t="str">
        <f>_xll.RssFOPMarket($E45,M$1)</f>
        <v/>
      </c>
      <c r="N45" t="str">
        <f>_xll.RssFOPMarket($E45,N$1)</f>
        <v/>
      </c>
      <c r="O45" t="str">
        <f>_xll.RssFOPMarket($E45,O$1)</f>
        <v/>
      </c>
      <c r="P45" t="str">
        <f>_xll.RssFOPMarket($E45,P$1)</f>
        <v/>
      </c>
      <c r="Q45" t="str">
        <f>_xll.RssFOPMarket($E45,Q$1)</f>
        <v/>
      </c>
    </row>
    <row r="46" spans="1:17" x14ac:dyDescent="0.4">
      <c r="A46" t="str">
        <f t="shared" si="0"/>
        <v>N225MOP</v>
      </c>
      <c r="B46" t="str">
        <f t="shared" si="0"/>
        <v>202310#3</v>
      </c>
      <c r="C46" t="str">
        <f t="shared" si="0"/>
        <v>C</v>
      </c>
      <c r="D46">
        <f t="shared" si="1"/>
        <v>31000</v>
      </c>
      <c r="E46" t="str">
        <f>_xll.RssFOPCode(A46,B46,IF(C46="C",1,IF(C46="P",2,"")),D46)</f>
        <v>マーケットスピード II にログインして「接続中」の状態に変更してから利用してください。</v>
      </c>
      <c r="F46" t="str">
        <f>_xll.RssFOPMarket($E46,F$1)</f>
        <v/>
      </c>
      <c r="G46" t="str">
        <f>_xll.RssFOPMarket($E46,G$1)</f>
        <v/>
      </c>
      <c r="H46" t="str">
        <f>_xll.RssFOPMarket($E46,H$1)</f>
        <v/>
      </c>
      <c r="I46" t="str">
        <f>_xll.RssFOPMarket($E46,I$1)</f>
        <v/>
      </c>
      <c r="J46" t="str">
        <f>_xll.RssFOPMarket($E46,J$1)</f>
        <v/>
      </c>
      <c r="K46" t="str">
        <f>_xll.RssFOPMarket($E46,K$1)</f>
        <v/>
      </c>
      <c r="L46" t="str">
        <f>_xll.RssFOPMarket($E46,L$1)</f>
        <v/>
      </c>
      <c r="M46" t="str">
        <f>_xll.RssFOPMarket($E46,M$1)</f>
        <v/>
      </c>
      <c r="N46" t="str">
        <f>_xll.RssFOPMarket($E46,N$1)</f>
        <v/>
      </c>
      <c r="O46" t="str">
        <f>_xll.RssFOPMarket($E46,O$1)</f>
        <v/>
      </c>
      <c r="P46" t="str">
        <f>_xll.RssFOPMarket($E46,P$1)</f>
        <v/>
      </c>
      <c r="Q46" t="str">
        <f>_xll.RssFOPMarket($E46,Q$1)</f>
        <v/>
      </c>
    </row>
    <row r="47" spans="1:17" x14ac:dyDescent="0.4">
      <c r="A47" t="str">
        <f t="shared" si="0"/>
        <v>N225MOP</v>
      </c>
      <c r="B47" t="str">
        <f t="shared" si="0"/>
        <v>202310#3</v>
      </c>
      <c r="C47" t="str">
        <f t="shared" si="0"/>
        <v>C</v>
      </c>
      <c r="D47">
        <f t="shared" si="1"/>
        <v>30875</v>
      </c>
      <c r="E47" t="str">
        <f>_xll.RssFOPCode(A47,B47,IF(C47="C",1,IF(C47="P",2,"")),D47)</f>
        <v>マーケットスピード II にログインして「接続中」の状態に変更してから利用してください。</v>
      </c>
      <c r="F47" t="str">
        <f>_xll.RssFOPMarket($E47,F$1)</f>
        <v/>
      </c>
      <c r="G47" t="str">
        <f>_xll.RssFOPMarket($E47,G$1)</f>
        <v/>
      </c>
      <c r="H47" t="str">
        <f>_xll.RssFOPMarket($E47,H$1)</f>
        <v/>
      </c>
      <c r="I47" t="str">
        <f>_xll.RssFOPMarket($E47,I$1)</f>
        <v/>
      </c>
      <c r="J47" t="str">
        <f>_xll.RssFOPMarket($E47,J$1)</f>
        <v/>
      </c>
      <c r="K47" t="str">
        <f>_xll.RssFOPMarket($E47,K$1)</f>
        <v/>
      </c>
      <c r="L47" t="str">
        <f>_xll.RssFOPMarket($E47,L$1)</f>
        <v/>
      </c>
      <c r="M47" t="str">
        <f>_xll.RssFOPMarket($E47,M$1)</f>
        <v/>
      </c>
      <c r="N47" t="str">
        <f>_xll.RssFOPMarket($E47,N$1)</f>
        <v/>
      </c>
      <c r="O47" t="str">
        <f>_xll.RssFOPMarket($E47,O$1)</f>
        <v/>
      </c>
      <c r="P47" t="str">
        <f>_xll.RssFOPMarket($E47,P$1)</f>
        <v/>
      </c>
      <c r="Q47" t="str">
        <f>_xll.RssFOPMarket($E47,Q$1)</f>
        <v/>
      </c>
    </row>
    <row r="48" spans="1:17" x14ac:dyDescent="0.4">
      <c r="A48" t="str">
        <f t="shared" si="0"/>
        <v>N225MOP</v>
      </c>
      <c r="B48" t="str">
        <f t="shared" si="0"/>
        <v>202310#3</v>
      </c>
      <c r="C48" t="str">
        <f t="shared" si="0"/>
        <v>C</v>
      </c>
      <c r="D48">
        <f t="shared" si="1"/>
        <v>30750</v>
      </c>
      <c r="E48" t="str">
        <f>_xll.RssFOPCode(A48,B48,IF(C48="C",1,IF(C48="P",2,"")),D48)</f>
        <v>マーケットスピード II にログインして「接続中」の状態に変更してから利用してください。</v>
      </c>
      <c r="F48" t="str">
        <f>_xll.RssFOPMarket($E48,F$1)</f>
        <v/>
      </c>
      <c r="G48" t="str">
        <f>_xll.RssFOPMarket($E48,G$1)</f>
        <v/>
      </c>
      <c r="H48" t="str">
        <f>_xll.RssFOPMarket($E48,H$1)</f>
        <v/>
      </c>
      <c r="I48" t="str">
        <f>_xll.RssFOPMarket($E48,I$1)</f>
        <v/>
      </c>
      <c r="J48" t="str">
        <f>_xll.RssFOPMarket($E48,J$1)</f>
        <v/>
      </c>
      <c r="K48" t="str">
        <f>_xll.RssFOPMarket($E48,K$1)</f>
        <v/>
      </c>
      <c r="L48" t="str">
        <f>_xll.RssFOPMarket($E48,L$1)</f>
        <v/>
      </c>
      <c r="M48" t="str">
        <f>_xll.RssFOPMarket($E48,M$1)</f>
        <v/>
      </c>
      <c r="N48" t="str">
        <f>_xll.RssFOPMarket($E48,N$1)</f>
        <v/>
      </c>
      <c r="O48" t="str">
        <f>_xll.RssFOPMarket($E48,O$1)</f>
        <v/>
      </c>
      <c r="P48" t="str">
        <f>_xll.RssFOPMarket($E48,P$1)</f>
        <v/>
      </c>
      <c r="Q48" t="str">
        <f>_xll.RssFOPMarket($E48,Q$1)</f>
        <v/>
      </c>
    </row>
    <row r="49" spans="1:17" x14ac:dyDescent="0.4">
      <c r="A49" t="str">
        <f t="shared" si="0"/>
        <v>N225MOP</v>
      </c>
      <c r="B49" t="str">
        <f t="shared" si="0"/>
        <v>202310#3</v>
      </c>
      <c r="C49" t="str">
        <f t="shared" si="0"/>
        <v>C</v>
      </c>
      <c r="D49">
        <f t="shared" si="1"/>
        <v>30625</v>
      </c>
      <c r="E49" t="str">
        <f>_xll.RssFOPCode(A49,B49,IF(C49="C",1,IF(C49="P",2,"")),D49)</f>
        <v>マーケットスピード II にログインして「接続中」の状態に変更してから利用してください。</v>
      </c>
      <c r="F49" t="str">
        <f>_xll.RssFOPMarket($E49,F$1)</f>
        <v/>
      </c>
      <c r="G49" t="str">
        <f>_xll.RssFOPMarket($E49,G$1)</f>
        <v/>
      </c>
      <c r="H49" t="str">
        <f>_xll.RssFOPMarket($E49,H$1)</f>
        <v/>
      </c>
      <c r="I49" t="str">
        <f>_xll.RssFOPMarket($E49,I$1)</f>
        <v/>
      </c>
      <c r="J49" t="str">
        <f>_xll.RssFOPMarket($E49,J$1)</f>
        <v/>
      </c>
      <c r="K49" t="str">
        <f>_xll.RssFOPMarket($E49,K$1)</f>
        <v/>
      </c>
      <c r="L49" t="str">
        <f>_xll.RssFOPMarket($E49,L$1)</f>
        <v/>
      </c>
      <c r="M49" t="str">
        <f>_xll.RssFOPMarket($E49,M$1)</f>
        <v/>
      </c>
      <c r="N49" t="str">
        <f>_xll.RssFOPMarket($E49,N$1)</f>
        <v/>
      </c>
      <c r="O49" t="str">
        <f>_xll.RssFOPMarket($E49,O$1)</f>
        <v/>
      </c>
      <c r="P49" t="str">
        <f>_xll.RssFOPMarket($E49,P$1)</f>
        <v/>
      </c>
      <c r="Q49" t="str">
        <f>_xll.RssFOPMarket($E49,Q$1)</f>
        <v/>
      </c>
    </row>
    <row r="50" spans="1:17" x14ac:dyDescent="0.4">
      <c r="A50" t="str">
        <f t="shared" si="0"/>
        <v>N225MOP</v>
      </c>
      <c r="B50" t="str">
        <f t="shared" si="0"/>
        <v>202310#3</v>
      </c>
      <c r="C50" t="str">
        <f t="shared" si="0"/>
        <v>C</v>
      </c>
      <c r="D50">
        <f t="shared" si="1"/>
        <v>30500</v>
      </c>
      <c r="E50" t="str">
        <f>_xll.RssFOPCode(A50,B50,IF(C50="C",1,IF(C50="P",2,"")),D50)</f>
        <v>マーケットスピード II にログインして「接続中」の状態に変更してから利用してください。</v>
      </c>
      <c r="F50" t="str">
        <f>_xll.RssFOPMarket($E50,F$1)</f>
        <v/>
      </c>
      <c r="G50" t="str">
        <f>_xll.RssFOPMarket($E50,G$1)</f>
        <v/>
      </c>
      <c r="H50" t="str">
        <f>_xll.RssFOPMarket($E50,H$1)</f>
        <v/>
      </c>
      <c r="I50" t="str">
        <f>_xll.RssFOPMarket($E50,I$1)</f>
        <v/>
      </c>
      <c r="J50" t="str">
        <f>_xll.RssFOPMarket($E50,J$1)</f>
        <v/>
      </c>
      <c r="K50" t="str">
        <f>_xll.RssFOPMarket($E50,K$1)</f>
        <v/>
      </c>
      <c r="L50" t="str">
        <f>_xll.RssFOPMarket($E50,L$1)</f>
        <v/>
      </c>
      <c r="M50" t="str">
        <f>_xll.RssFOPMarket($E50,M$1)</f>
        <v/>
      </c>
      <c r="N50" t="str">
        <f>_xll.RssFOPMarket($E50,N$1)</f>
        <v/>
      </c>
      <c r="O50" t="str">
        <f>_xll.RssFOPMarket($E50,O$1)</f>
        <v/>
      </c>
      <c r="P50" t="str">
        <f>_xll.RssFOPMarket($E50,P$1)</f>
        <v/>
      </c>
      <c r="Q50" t="str">
        <f>_xll.RssFOPMarket($E50,Q$1)</f>
        <v/>
      </c>
    </row>
    <row r="51" spans="1:17" x14ac:dyDescent="0.4">
      <c r="A51" t="str">
        <f t="shared" si="0"/>
        <v>N225MOP</v>
      </c>
      <c r="B51" t="str">
        <f t="shared" si="0"/>
        <v>202310#3</v>
      </c>
      <c r="C51" t="str">
        <f t="shared" si="0"/>
        <v>C</v>
      </c>
      <c r="D51">
        <f t="shared" si="1"/>
        <v>30375</v>
      </c>
      <c r="E51" t="str">
        <f>_xll.RssFOPCode(A51,B51,IF(C51="C",1,IF(C51="P",2,"")),D51)</f>
        <v>マーケットスピード II にログインして「接続中」の状態に変更してから利用してください。</v>
      </c>
      <c r="F51" t="str">
        <f>_xll.RssFOPMarket($E51,F$1)</f>
        <v/>
      </c>
      <c r="G51" t="str">
        <f>_xll.RssFOPMarket($E51,G$1)</f>
        <v/>
      </c>
      <c r="H51" t="str">
        <f>_xll.RssFOPMarket($E51,H$1)</f>
        <v/>
      </c>
      <c r="I51" t="str">
        <f>_xll.RssFOPMarket($E51,I$1)</f>
        <v/>
      </c>
      <c r="J51" t="str">
        <f>_xll.RssFOPMarket($E51,J$1)</f>
        <v/>
      </c>
      <c r="K51" t="str">
        <f>_xll.RssFOPMarket($E51,K$1)</f>
        <v/>
      </c>
      <c r="L51" t="str">
        <f>_xll.RssFOPMarket($E51,L$1)</f>
        <v/>
      </c>
      <c r="M51" t="str">
        <f>_xll.RssFOPMarket($E51,M$1)</f>
        <v/>
      </c>
      <c r="N51" t="str">
        <f>_xll.RssFOPMarket($E51,N$1)</f>
        <v/>
      </c>
      <c r="O51" t="str">
        <f>_xll.RssFOPMarket($E51,O$1)</f>
        <v/>
      </c>
      <c r="P51" t="str">
        <f>_xll.RssFOPMarket($E51,P$1)</f>
        <v/>
      </c>
      <c r="Q51" t="str">
        <f>_xll.RssFOPMarket($E51,Q$1)</f>
        <v/>
      </c>
    </row>
    <row r="52" spans="1:17" x14ac:dyDescent="0.4">
      <c r="A52" t="str">
        <f t="shared" si="0"/>
        <v>N225MOP</v>
      </c>
      <c r="B52" t="str">
        <f t="shared" si="0"/>
        <v>202310#3</v>
      </c>
      <c r="C52" t="str">
        <f t="shared" si="0"/>
        <v>C</v>
      </c>
      <c r="D52">
        <f t="shared" si="1"/>
        <v>30250</v>
      </c>
      <c r="E52" t="str">
        <f>_xll.RssFOPCode(A52,B52,IF(C52="C",1,IF(C52="P",2,"")),D52)</f>
        <v>マーケットスピード II にログインして「接続中」の状態に変更してから利用してください。</v>
      </c>
      <c r="F52" t="str">
        <f>_xll.RssFOPMarket($E52,F$1)</f>
        <v/>
      </c>
      <c r="G52" t="str">
        <f>_xll.RssFOPMarket($E52,G$1)</f>
        <v/>
      </c>
      <c r="H52" t="str">
        <f>_xll.RssFOPMarket($E52,H$1)</f>
        <v/>
      </c>
      <c r="I52" t="str">
        <f>_xll.RssFOPMarket($E52,I$1)</f>
        <v/>
      </c>
      <c r="J52" t="str">
        <f>_xll.RssFOPMarket($E52,J$1)</f>
        <v/>
      </c>
      <c r="K52" t="str">
        <f>_xll.RssFOPMarket($E52,K$1)</f>
        <v/>
      </c>
      <c r="L52" t="str">
        <f>_xll.RssFOPMarket($E52,L$1)</f>
        <v/>
      </c>
      <c r="M52" t="str">
        <f>_xll.RssFOPMarket($E52,M$1)</f>
        <v/>
      </c>
      <c r="N52" t="str">
        <f>_xll.RssFOPMarket($E52,N$1)</f>
        <v/>
      </c>
      <c r="O52" t="str">
        <f>_xll.RssFOPMarket($E52,O$1)</f>
        <v/>
      </c>
      <c r="P52" t="str">
        <f>_xll.RssFOPMarket($E52,P$1)</f>
        <v/>
      </c>
      <c r="Q52" t="str">
        <f>_xll.RssFOPMarket($E52,Q$1)</f>
        <v/>
      </c>
    </row>
    <row r="53" spans="1:17" x14ac:dyDescent="0.4">
      <c r="A53" t="str">
        <f t="shared" si="0"/>
        <v>N225MOP</v>
      </c>
      <c r="B53" t="str">
        <f t="shared" si="0"/>
        <v>202310#3</v>
      </c>
      <c r="C53" t="str">
        <f t="shared" si="0"/>
        <v>C</v>
      </c>
      <c r="D53">
        <f t="shared" si="1"/>
        <v>30125</v>
      </c>
      <c r="E53" t="str">
        <f>_xll.RssFOPCode(A53,B53,IF(C53="C",1,IF(C53="P",2,"")),D53)</f>
        <v>マーケットスピード II にログインして「接続中」の状態に変更してから利用してください。</v>
      </c>
      <c r="F53" t="str">
        <f>_xll.RssFOPMarket($E53,F$1)</f>
        <v/>
      </c>
      <c r="G53" t="str">
        <f>_xll.RssFOPMarket($E53,G$1)</f>
        <v/>
      </c>
      <c r="H53" t="str">
        <f>_xll.RssFOPMarket($E53,H$1)</f>
        <v/>
      </c>
      <c r="I53" t="str">
        <f>_xll.RssFOPMarket($E53,I$1)</f>
        <v/>
      </c>
      <c r="J53" t="str">
        <f>_xll.RssFOPMarket($E53,J$1)</f>
        <v/>
      </c>
      <c r="K53" t="str">
        <f>_xll.RssFOPMarket($E53,K$1)</f>
        <v/>
      </c>
      <c r="L53" t="str">
        <f>_xll.RssFOPMarket($E53,L$1)</f>
        <v/>
      </c>
      <c r="M53" t="str">
        <f>_xll.RssFOPMarket($E53,M$1)</f>
        <v/>
      </c>
      <c r="N53" t="str">
        <f>_xll.RssFOPMarket($E53,N$1)</f>
        <v/>
      </c>
      <c r="O53" t="str">
        <f>_xll.RssFOPMarket($E53,O$1)</f>
        <v/>
      </c>
      <c r="P53" t="str">
        <f>_xll.RssFOPMarket($E53,P$1)</f>
        <v/>
      </c>
      <c r="Q53" t="str">
        <f>_xll.RssFOPMarket($E53,Q$1)</f>
        <v/>
      </c>
    </row>
    <row r="54" spans="1:17" x14ac:dyDescent="0.4">
      <c r="A54" t="str">
        <f t="shared" si="0"/>
        <v>N225MOP</v>
      </c>
      <c r="B54" t="str">
        <f t="shared" si="0"/>
        <v>202310#3</v>
      </c>
      <c r="C54" t="str">
        <f t="shared" si="0"/>
        <v>C</v>
      </c>
      <c r="D54">
        <f t="shared" si="1"/>
        <v>30000</v>
      </c>
      <c r="E54" t="str">
        <f>_xll.RssFOPCode(A54,B54,IF(C54="C",1,IF(C54="P",2,"")),D54)</f>
        <v>マーケットスピード II にログインして「接続中」の状態に変更してから利用してください。</v>
      </c>
      <c r="F54" t="str">
        <f>_xll.RssFOPMarket($E54,F$1)</f>
        <v/>
      </c>
      <c r="G54" t="str">
        <f>_xll.RssFOPMarket($E54,G$1)</f>
        <v/>
      </c>
      <c r="H54" t="str">
        <f>_xll.RssFOPMarket($E54,H$1)</f>
        <v/>
      </c>
      <c r="I54" t="str">
        <f>_xll.RssFOPMarket($E54,I$1)</f>
        <v/>
      </c>
      <c r="J54" t="str">
        <f>_xll.RssFOPMarket($E54,J$1)</f>
        <v/>
      </c>
      <c r="K54" t="str">
        <f>_xll.RssFOPMarket($E54,K$1)</f>
        <v/>
      </c>
      <c r="L54" t="str">
        <f>_xll.RssFOPMarket($E54,L$1)</f>
        <v/>
      </c>
      <c r="M54" t="str">
        <f>_xll.RssFOPMarket($E54,M$1)</f>
        <v/>
      </c>
      <c r="N54" t="str">
        <f>_xll.RssFOPMarket($E54,N$1)</f>
        <v/>
      </c>
      <c r="O54" t="str">
        <f>_xll.RssFOPMarket($E54,O$1)</f>
        <v/>
      </c>
      <c r="P54" t="str">
        <f>_xll.RssFOPMarket($E54,P$1)</f>
        <v/>
      </c>
      <c r="Q54" t="str">
        <f>_xll.RssFOPMarket($E54,Q$1)</f>
        <v/>
      </c>
    </row>
    <row r="55" spans="1:17" x14ac:dyDescent="0.4">
      <c r="A55" t="str">
        <f t="shared" si="0"/>
        <v>N225MOP</v>
      </c>
      <c r="B55" t="str">
        <f t="shared" si="0"/>
        <v>202310#3</v>
      </c>
      <c r="C55" t="str">
        <f t="shared" si="0"/>
        <v>C</v>
      </c>
      <c r="D55">
        <f t="shared" si="1"/>
        <v>29875</v>
      </c>
      <c r="E55" t="str">
        <f>_xll.RssFOPCode(A55,B55,IF(C55="C",1,IF(C55="P",2,"")),D55)</f>
        <v>マーケットスピード II にログインして「接続中」の状態に変更してから利用してください。</v>
      </c>
      <c r="F55" t="str">
        <f>_xll.RssFOPMarket($E55,F$1)</f>
        <v/>
      </c>
      <c r="G55" t="str">
        <f>_xll.RssFOPMarket($E55,G$1)</f>
        <v/>
      </c>
      <c r="H55" t="str">
        <f>_xll.RssFOPMarket($E55,H$1)</f>
        <v/>
      </c>
      <c r="I55" t="str">
        <f>_xll.RssFOPMarket($E55,I$1)</f>
        <v/>
      </c>
      <c r="J55" t="str">
        <f>_xll.RssFOPMarket($E55,J$1)</f>
        <v/>
      </c>
      <c r="K55" t="str">
        <f>_xll.RssFOPMarket($E55,K$1)</f>
        <v/>
      </c>
      <c r="L55" t="str">
        <f>_xll.RssFOPMarket($E55,L$1)</f>
        <v/>
      </c>
      <c r="M55" t="str">
        <f>_xll.RssFOPMarket($E55,M$1)</f>
        <v/>
      </c>
      <c r="N55" t="str">
        <f>_xll.RssFOPMarket($E55,N$1)</f>
        <v/>
      </c>
      <c r="O55" t="str">
        <f>_xll.RssFOPMarket($E55,O$1)</f>
        <v/>
      </c>
      <c r="P55" t="str">
        <f>_xll.RssFOPMarket($E55,P$1)</f>
        <v/>
      </c>
      <c r="Q55" t="str">
        <f>_xll.RssFOPMarket($E55,Q$1)</f>
        <v/>
      </c>
    </row>
    <row r="56" spans="1:17" x14ac:dyDescent="0.4">
      <c r="A56" t="str">
        <f t="shared" si="0"/>
        <v>N225MOP</v>
      </c>
      <c r="B56" t="str">
        <f t="shared" si="0"/>
        <v>202310#3</v>
      </c>
      <c r="C56" t="str">
        <f t="shared" si="0"/>
        <v>C</v>
      </c>
      <c r="D56">
        <f t="shared" si="1"/>
        <v>29750</v>
      </c>
      <c r="E56" t="str">
        <f>_xll.RssFOPCode(A56,B56,IF(C56="C",1,IF(C56="P",2,"")),D56)</f>
        <v>マーケットスピード II にログインして「接続中」の状態に変更してから利用してください。</v>
      </c>
      <c r="F56" t="str">
        <f>_xll.RssFOPMarket($E56,F$1)</f>
        <v/>
      </c>
      <c r="G56" t="str">
        <f>_xll.RssFOPMarket($E56,G$1)</f>
        <v/>
      </c>
      <c r="H56" t="str">
        <f>_xll.RssFOPMarket($E56,H$1)</f>
        <v/>
      </c>
      <c r="I56" t="str">
        <f>_xll.RssFOPMarket($E56,I$1)</f>
        <v/>
      </c>
      <c r="J56" t="str">
        <f>_xll.RssFOPMarket($E56,J$1)</f>
        <v/>
      </c>
      <c r="K56" t="str">
        <f>_xll.RssFOPMarket($E56,K$1)</f>
        <v/>
      </c>
      <c r="L56" t="str">
        <f>_xll.RssFOPMarket($E56,L$1)</f>
        <v/>
      </c>
      <c r="M56" t="str">
        <f>_xll.RssFOPMarket($E56,M$1)</f>
        <v/>
      </c>
      <c r="N56" t="str">
        <f>_xll.RssFOPMarket($E56,N$1)</f>
        <v/>
      </c>
      <c r="O56" t="str">
        <f>_xll.RssFOPMarket($E56,O$1)</f>
        <v/>
      </c>
      <c r="P56" t="str">
        <f>_xll.RssFOPMarket($E56,P$1)</f>
        <v/>
      </c>
      <c r="Q56" t="str">
        <f>_xll.RssFOPMarket($E56,Q$1)</f>
        <v/>
      </c>
    </row>
    <row r="57" spans="1:17" x14ac:dyDescent="0.4">
      <c r="A57" t="str">
        <f t="shared" si="0"/>
        <v>N225MOP</v>
      </c>
      <c r="B57" t="str">
        <f t="shared" si="0"/>
        <v>202310#3</v>
      </c>
      <c r="C57" t="str">
        <f t="shared" si="0"/>
        <v>C</v>
      </c>
      <c r="D57">
        <f t="shared" si="1"/>
        <v>29625</v>
      </c>
      <c r="E57" t="str">
        <f>_xll.RssFOPCode(A57,B57,IF(C57="C",1,IF(C57="P",2,"")),D57)</f>
        <v>マーケットスピード II にログインして「接続中」の状態に変更してから利用してください。</v>
      </c>
      <c r="F57" t="str">
        <f>_xll.RssFOPMarket($E57,F$1)</f>
        <v/>
      </c>
      <c r="G57" t="str">
        <f>_xll.RssFOPMarket($E57,G$1)</f>
        <v/>
      </c>
      <c r="H57" t="str">
        <f>_xll.RssFOPMarket($E57,H$1)</f>
        <v/>
      </c>
      <c r="I57" t="str">
        <f>_xll.RssFOPMarket($E57,I$1)</f>
        <v/>
      </c>
      <c r="J57" t="str">
        <f>_xll.RssFOPMarket($E57,J$1)</f>
        <v/>
      </c>
      <c r="K57" t="str">
        <f>_xll.RssFOPMarket($E57,K$1)</f>
        <v/>
      </c>
      <c r="L57" t="str">
        <f>_xll.RssFOPMarket($E57,L$1)</f>
        <v/>
      </c>
      <c r="M57" t="str">
        <f>_xll.RssFOPMarket($E57,M$1)</f>
        <v/>
      </c>
      <c r="N57" t="str">
        <f>_xll.RssFOPMarket($E57,N$1)</f>
        <v/>
      </c>
      <c r="O57" t="str">
        <f>_xll.RssFOPMarket($E57,O$1)</f>
        <v/>
      </c>
      <c r="P57" t="str">
        <f>_xll.RssFOPMarket($E57,P$1)</f>
        <v/>
      </c>
      <c r="Q57" t="str">
        <f>_xll.RssFOPMarket($E57,Q$1)</f>
        <v/>
      </c>
    </row>
    <row r="58" spans="1:17" x14ac:dyDescent="0.4">
      <c r="A58" t="str">
        <f t="shared" si="0"/>
        <v>N225MOP</v>
      </c>
      <c r="B58" t="str">
        <f t="shared" si="0"/>
        <v>202310#3</v>
      </c>
      <c r="C58" t="str">
        <f t="shared" si="0"/>
        <v>C</v>
      </c>
      <c r="D58">
        <f t="shared" si="1"/>
        <v>29500</v>
      </c>
      <c r="E58" t="str">
        <f>_xll.RssFOPCode(A58,B58,IF(C58="C",1,IF(C58="P",2,"")),D58)</f>
        <v>マーケットスピード II にログインして「接続中」の状態に変更してから利用してください。</v>
      </c>
      <c r="F58" t="str">
        <f>_xll.RssFOPMarket($E58,F$1)</f>
        <v/>
      </c>
      <c r="G58" t="str">
        <f>_xll.RssFOPMarket($E58,G$1)</f>
        <v/>
      </c>
      <c r="H58" t="str">
        <f>_xll.RssFOPMarket($E58,H$1)</f>
        <v/>
      </c>
      <c r="I58" t="str">
        <f>_xll.RssFOPMarket($E58,I$1)</f>
        <v/>
      </c>
      <c r="J58" t="str">
        <f>_xll.RssFOPMarket($E58,J$1)</f>
        <v/>
      </c>
      <c r="K58" t="str">
        <f>_xll.RssFOPMarket($E58,K$1)</f>
        <v/>
      </c>
      <c r="L58" t="str">
        <f>_xll.RssFOPMarket($E58,L$1)</f>
        <v/>
      </c>
      <c r="M58" t="str">
        <f>_xll.RssFOPMarket($E58,M$1)</f>
        <v/>
      </c>
      <c r="N58" t="str">
        <f>_xll.RssFOPMarket($E58,N$1)</f>
        <v/>
      </c>
      <c r="O58" t="str">
        <f>_xll.RssFOPMarket($E58,O$1)</f>
        <v/>
      </c>
      <c r="P58" t="str">
        <f>_xll.RssFOPMarket($E58,P$1)</f>
        <v/>
      </c>
      <c r="Q58" t="str">
        <f>_xll.RssFOPMarket($E58,Q$1)</f>
        <v/>
      </c>
    </row>
    <row r="59" spans="1:17" x14ac:dyDescent="0.4">
      <c r="A59" t="str">
        <f t="shared" si="0"/>
        <v>N225MOP</v>
      </c>
      <c r="B59" t="str">
        <f t="shared" si="0"/>
        <v>202310#3</v>
      </c>
      <c r="C59" t="str">
        <f t="shared" si="0"/>
        <v>C</v>
      </c>
      <c r="D59">
        <f t="shared" si="1"/>
        <v>29375</v>
      </c>
      <c r="E59" t="str">
        <f>_xll.RssFOPCode(A59,B59,IF(C59="C",1,IF(C59="P",2,"")),D59)</f>
        <v>マーケットスピード II にログインして「接続中」の状態に変更してから利用してください。</v>
      </c>
      <c r="F59" t="str">
        <f>_xll.RssFOPMarket($E59,F$1)</f>
        <v/>
      </c>
      <c r="G59" t="str">
        <f>_xll.RssFOPMarket($E59,G$1)</f>
        <v/>
      </c>
      <c r="H59" t="str">
        <f>_xll.RssFOPMarket($E59,H$1)</f>
        <v/>
      </c>
      <c r="I59" t="str">
        <f>_xll.RssFOPMarket($E59,I$1)</f>
        <v/>
      </c>
      <c r="J59" t="str">
        <f>_xll.RssFOPMarket($E59,J$1)</f>
        <v/>
      </c>
      <c r="K59" t="str">
        <f>_xll.RssFOPMarket($E59,K$1)</f>
        <v/>
      </c>
      <c r="L59" t="str">
        <f>_xll.RssFOPMarket($E59,L$1)</f>
        <v/>
      </c>
      <c r="M59" t="str">
        <f>_xll.RssFOPMarket($E59,M$1)</f>
        <v/>
      </c>
      <c r="N59" t="str">
        <f>_xll.RssFOPMarket($E59,N$1)</f>
        <v/>
      </c>
      <c r="O59" t="str">
        <f>_xll.RssFOPMarket($E59,O$1)</f>
        <v/>
      </c>
      <c r="P59" t="str">
        <f>_xll.RssFOPMarket($E59,P$1)</f>
        <v/>
      </c>
      <c r="Q59" t="str">
        <f>_xll.RssFOPMarket($E59,Q$1)</f>
        <v/>
      </c>
    </row>
    <row r="60" spans="1:17" x14ac:dyDescent="0.4">
      <c r="A60" t="str">
        <f t="shared" si="0"/>
        <v>N225MOP</v>
      </c>
      <c r="B60" t="str">
        <f t="shared" si="0"/>
        <v>202310#3</v>
      </c>
      <c r="C60" t="str">
        <f t="shared" si="0"/>
        <v>C</v>
      </c>
      <c r="D60">
        <f t="shared" si="1"/>
        <v>29250</v>
      </c>
      <c r="E60" t="str">
        <f>_xll.RssFOPCode(A60,B60,IF(C60="C",1,IF(C60="P",2,"")),D60)</f>
        <v>マーケットスピード II にログインして「接続中」の状態に変更してから利用してください。</v>
      </c>
      <c r="F60" t="str">
        <f>_xll.RssFOPMarket($E60,F$1)</f>
        <v/>
      </c>
      <c r="G60" t="str">
        <f>_xll.RssFOPMarket($E60,G$1)</f>
        <v/>
      </c>
      <c r="H60" t="str">
        <f>_xll.RssFOPMarket($E60,H$1)</f>
        <v/>
      </c>
      <c r="I60" t="str">
        <f>_xll.RssFOPMarket($E60,I$1)</f>
        <v/>
      </c>
      <c r="J60" t="str">
        <f>_xll.RssFOPMarket($E60,J$1)</f>
        <v/>
      </c>
      <c r="K60" t="str">
        <f>_xll.RssFOPMarket($E60,K$1)</f>
        <v/>
      </c>
      <c r="L60" t="str">
        <f>_xll.RssFOPMarket($E60,L$1)</f>
        <v/>
      </c>
      <c r="M60" t="str">
        <f>_xll.RssFOPMarket($E60,M$1)</f>
        <v/>
      </c>
      <c r="N60" t="str">
        <f>_xll.RssFOPMarket($E60,N$1)</f>
        <v/>
      </c>
      <c r="O60" t="str">
        <f>_xll.RssFOPMarket($E60,O$1)</f>
        <v/>
      </c>
      <c r="P60" t="str">
        <f>_xll.RssFOPMarket($E60,P$1)</f>
        <v/>
      </c>
      <c r="Q60" t="str">
        <f>_xll.RssFOPMarket($E60,Q$1)</f>
        <v/>
      </c>
    </row>
    <row r="61" spans="1:17" x14ac:dyDescent="0.4">
      <c r="A61" t="str">
        <f t="shared" si="0"/>
        <v>N225MOP</v>
      </c>
      <c r="B61" t="str">
        <f t="shared" si="0"/>
        <v>202310#3</v>
      </c>
      <c r="C61" t="str">
        <f t="shared" si="0"/>
        <v>C</v>
      </c>
      <c r="D61">
        <f t="shared" si="1"/>
        <v>29125</v>
      </c>
      <c r="E61" t="str">
        <f>_xll.RssFOPCode(A61,B61,IF(C61="C",1,IF(C61="P",2,"")),D61)</f>
        <v>マーケットスピード II にログインして「接続中」の状態に変更してから利用してください。</v>
      </c>
      <c r="F61" t="str">
        <f>_xll.RssFOPMarket($E61,F$1)</f>
        <v/>
      </c>
      <c r="G61" t="str">
        <f>_xll.RssFOPMarket($E61,G$1)</f>
        <v/>
      </c>
      <c r="H61" t="str">
        <f>_xll.RssFOPMarket($E61,H$1)</f>
        <v/>
      </c>
      <c r="I61" t="str">
        <f>_xll.RssFOPMarket($E61,I$1)</f>
        <v/>
      </c>
      <c r="J61" t="str">
        <f>_xll.RssFOPMarket($E61,J$1)</f>
        <v/>
      </c>
      <c r="K61" t="str">
        <f>_xll.RssFOPMarket($E61,K$1)</f>
        <v/>
      </c>
      <c r="L61" t="str">
        <f>_xll.RssFOPMarket($E61,L$1)</f>
        <v/>
      </c>
      <c r="M61" t="str">
        <f>_xll.RssFOPMarket($E61,M$1)</f>
        <v/>
      </c>
      <c r="N61" t="str">
        <f>_xll.RssFOPMarket($E61,N$1)</f>
        <v/>
      </c>
      <c r="O61" t="str">
        <f>_xll.RssFOPMarket($E61,O$1)</f>
        <v/>
      </c>
      <c r="P61" t="str">
        <f>_xll.RssFOPMarket($E61,P$1)</f>
        <v/>
      </c>
      <c r="Q61" t="str">
        <f>_xll.RssFOPMarket($E61,Q$1)</f>
        <v/>
      </c>
    </row>
    <row r="62" spans="1:17" x14ac:dyDescent="0.4">
      <c r="A62" t="str">
        <f t="shared" si="0"/>
        <v>N225MOP</v>
      </c>
      <c r="B62" t="str">
        <f t="shared" si="0"/>
        <v>202310#3</v>
      </c>
      <c r="C62" t="str">
        <f t="shared" si="0"/>
        <v>C</v>
      </c>
      <c r="D62">
        <f t="shared" si="1"/>
        <v>29000</v>
      </c>
      <c r="E62" t="str">
        <f>_xll.RssFOPCode(A62,B62,IF(C62="C",1,IF(C62="P",2,"")),D62)</f>
        <v>マーケットスピード II にログインして「接続中」の状態に変更してから利用してください。</v>
      </c>
      <c r="F62" t="str">
        <f>_xll.RssFOPMarket($E62,F$1)</f>
        <v/>
      </c>
      <c r="G62" t="str">
        <f>_xll.RssFOPMarket($E62,G$1)</f>
        <v/>
      </c>
      <c r="H62" t="str">
        <f>_xll.RssFOPMarket($E62,H$1)</f>
        <v/>
      </c>
      <c r="I62" t="str">
        <f>_xll.RssFOPMarket($E62,I$1)</f>
        <v/>
      </c>
      <c r="J62" t="str">
        <f>_xll.RssFOPMarket($E62,J$1)</f>
        <v/>
      </c>
      <c r="K62" t="str">
        <f>_xll.RssFOPMarket($E62,K$1)</f>
        <v/>
      </c>
      <c r="L62" t="str">
        <f>_xll.RssFOPMarket($E62,L$1)</f>
        <v/>
      </c>
      <c r="M62" t="str">
        <f>_xll.RssFOPMarket($E62,M$1)</f>
        <v/>
      </c>
      <c r="N62" t="str">
        <f>_xll.RssFOPMarket($E62,N$1)</f>
        <v/>
      </c>
      <c r="O62" t="str">
        <f>_xll.RssFOPMarket($E62,O$1)</f>
        <v/>
      </c>
      <c r="P62" t="str">
        <f>_xll.RssFOPMarket($E62,P$1)</f>
        <v/>
      </c>
      <c r="Q62" t="str">
        <f>_xll.RssFOPMarket($E62,Q$1)</f>
        <v/>
      </c>
    </row>
    <row r="63" spans="1:17" x14ac:dyDescent="0.4">
      <c r="A63" t="str">
        <f t="shared" si="0"/>
        <v>N225MOP</v>
      </c>
      <c r="B63" t="str">
        <f t="shared" si="0"/>
        <v>202310#3</v>
      </c>
      <c r="C63" t="str">
        <f t="shared" si="0"/>
        <v>C</v>
      </c>
      <c r="D63">
        <f t="shared" si="1"/>
        <v>28875</v>
      </c>
      <c r="E63" t="str">
        <f>_xll.RssFOPCode(A63,B63,IF(C63="C",1,IF(C63="P",2,"")),D63)</f>
        <v>マーケットスピード II にログインして「接続中」の状態に変更してから利用してください。</v>
      </c>
      <c r="F63" t="str">
        <f>_xll.RssFOPMarket($E63,F$1)</f>
        <v/>
      </c>
      <c r="G63" t="str">
        <f>_xll.RssFOPMarket($E63,G$1)</f>
        <v/>
      </c>
      <c r="H63" t="str">
        <f>_xll.RssFOPMarket($E63,H$1)</f>
        <v/>
      </c>
      <c r="I63" t="str">
        <f>_xll.RssFOPMarket($E63,I$1)</f>
        <v/>
      </c>
      <c r="J63" t="str">
        <f>_xll.RssFOPMarket($E63,J$1)</f>
        <v/>
      </c>
      <c r="K63" t="str">
        <f>_xll.RssFOPMarket($E63,K$1)</f>
        <v/>
      </c>
      <c r="L63" t="str">
        <f>_xll.RssFOPMarket($E63,L$1)</f>
        <v/>
      </c>
      <c r="M63" t="str">
        <f>_xll.RssFOPMarket($E63,M$1)</f>
        <v/>
      </c>
      <c r="N63" t="str">
        <f>_xll.RssFOPMarket($E63,N$1)</f>
        <v/>
      </c>
      <c r="O63" t="str">
        <f>_xll.RssFOPMarket($E63,O$1)</f>
        <v/>
      </c>
      <c r="P63" t="str">
        <f>_xll.RssFOPMarket($E63,P$1)</f>
        <v/>
      </c>
      <c r="Q63" t="str">
        <f>_xll.RssFOPMarket($E63,Q$1)</f>
        <v/>
      </c>
    </row>
    <row r="64" spans="1:17" x14ac:dyDescent="0.4">
      <c r="A64" t="str">
        <f t="shared" si="0"/>
        <v>N225MOP</v>
      </c>
      <c r="B64" t="str">
        <f t="shared" si="0"/>
        <v>202310#3</v>
      </c>
      <c r="C64" t="str">
        <f t="shared" si="0"/>
        <v>C</v>
      </c>
      <c r="D64">
        <f t="shared" si="1"/>
        <v>28750</v>
      </c>
      <c r="E64" t="str">
        <f>_xll.RssFOPCode(A64,B64,IF(C64="C",1,IF(C64="P",2,"")),D64)</f>
        <v>マーケットスピード II にログインして「接続中」の状態に変更してから利用してください。</v>
      </c>
      <c r="F64" t="str">
        <f>_xll.RssFOPMarket($E64,F$1)</f>
        <v/>
      </c>
      <c r="G64" t="str">
        <f>_xll.RssFOPMarket($E64,G$1)</f>
        <v/>
      </c>
      <c r="H64" t="str">
        <f>_xll.RssFOPMarket($E64,H$1)</f>
        <v/>
      </c>
      <c r="I64" t="str">
        <f>_xll.RssFOPMarket($E64,I$1)</f>
        <v/>
      </c>
      <c r="J64" t="str">
        <f>_xll.RssFOPMarket($E64,J$1)</f>
        <v/>
      </c>
      <c r="K64" t="str">
        <f>_xll.RssFOPMarket($E64,K$1)</f>
        <v/>
      </c>
      <c r="L64" t="str">
        <f>_xll.RssFOPMarket($E64,L$1)</f>
        <v/>
      </c>
      <c r="M64" t="str">
        <f>_xll.RssFOPMarket($E64,M$1)</f>
        <v/>
      </c>
      <c r="N64" t="str">
        <f>_xll.RssFOPMarket($E64,N$1)</f>
        <v/>
      </c>
      <c r="O64" t="str">
        <f>_xll.RssFOPMarket($E64,O$1)</f>
        <v/>
      </c>
      <c r="P64" t="str">
        <f>_xll.RssFOPMarket($E64,P$1)</f>
        <v/>
      </c>
      <c r="Q64" t="str">
        <f>_xll.RssFOPMarket($E64,Q$1)</f>
        <v/>
      </c>
    </row>
    <row r="65" spans="1:17" x14ac:dyDescent="0.4">
      <c r="A65" t="str">
        <f t="shared" si="0"/>
        <v>N225MOP</v>
      </c>
      <c r="B65" t="str">
        <f t="shared" si="0"/>
        <v>202310#3</v>
      </c>
      <c r="C65" t="str">
        <f t="shared" si="0"/>
        <v>C</v>
      </c>
      <c r="D65">
        <f t="shared" si="1"/>
        <v>28625</v>
      </c>
      <c r="E65" t="str">
        <f>_xll.RssFOPCode(A65,B65,IF(C65="C",1,IF(C65="P",2,"")),D65)</f>
        <v>マーケットスピード II にログインして「接続中」の状態に変更してから利用してください。</v>
      </c>
      <c r="F65" t="str">
        <f>_xll.RssFOPMarket($E65,F$1)</f>
        <v/>
      </c>
      <c r="G65" t="str">
        <f>_xll.RssFOPMarket($E65,G$1)</f>
        <v/>
      </c>
      <c r="H65" t="str">
        <f>_xll.RssFOPMarket($E65,H$1)</f>
        <v/>
      </c>
      <c r="I65" t="str">
        <f>_xll.RssFOPMarket($E65,I$1)</f>
        <v/>
      </c>
      <c r="J65" t="str">
        <f>_xll.RssFOPMarket($E65,J$1)</f>
        <v/>
      </c>
      <c r="K65" t="str">
        <f>_xll.RssFOPMarket($E65,K$1)</f>
        <v/>
      </c>
      <c r="L65" t="str">
        <f>_xll.RssFOPMarket($E65,L$1)</f>
        <v/>
      </c>
      <c r="M65" t="str">
        <f>_xll.RssFOPMarket($E65,M$1)</f>
        <v/>
      </c>
      <c r="N65" t="str">
        <f>_xll.RssFOPMarket($E65,N$1)</f>
        <v/>
      </c>
      <c r="O65" t="str">
        <f>_xll.RssFOPMarket($E65,O$1)</f>
        <v/>
      </c>
      <c r="P65" t="str">
        <f>_xll.RssFOPMarket($E65,P$1)</f>
        <v/>
      </c>
      <c r="Q65" t="str">
        <f>_xll.RssFOPMarket($E65,Q$1)</f>
        <v/>
      </c>
    </row>
    <row r="66" spans="1:17" x14ac:dyDescent="0.4">
      <c r="A66" t="str">
        <f t="shared" si="0"/>
        <v>N225MOP</v>
      </c>
      <c r="B66" t="str">
        <f t="shared" si="0"/>
        <v>202310#3</v>
      </c>
      <c r="C66" t="str">
        <f t="shared" si="0"/>
        <v>C</v>
      </c>
      <c r="D66">
        <f t="shared" si="1"/>
        <v>28500</v>
      </c>
      <c r="E66" t="str">
        <f>_xll.RssFOPCode(A66,B66,IF(C66="C",1,IF(C66="P",2,"")),D66)</f>
        <v>マーケットスピード II にログインして「接続中」の状態に変更してから利用してください。</v>
      </c>
      <c r="F66" t="str">
        <f>_xll.RssFOPMarket($E66,F$1)</f>
        <v/>
      </c>
      <c r="G66" t="str">
        <f>_xll.RssFOPMarket($E66,G$1)</f>
        <v/>
      </c>
      <c r="H66" t="str">
        <f>_xll.RssFOPMarket($E66,H$1)</f>
        <v/>
      </c>
      <c r="I66" t="str">
        <f>_xll.RssFOPMarket($E66,I$1)</f>
        <v/>
      </c>
      <c r="J66" t="str">
        <f>_xll.RssFOPMarket($E66,J$1)</f>
        <v/>
      </c>
      <c r="K66" t="str">
        <f>_xll.RssFOPMarket($E66,K$1)</f>
        <v/>
      </c>
      <c r="L66" t="str">
        <f>_xll.RssFOPMarket($E66,L$1)</f>
        <v/>
      </c>
      <c r="M66" t="str">
        <f>_xll.RssFOPMarket($E66,M$1)</f>
        <v/>
      </c>
      <c r="N66" t="str">
        <f>_xll.RssFOPMarket($E66,N$1)</f>
        <v/>
      </c>
      <c r="O66" t="str">
        <f>_xll.RssFOPMarket($E66,O$1)</f>
        <v/>
      </c>
      <c r="P66" t="str">
        <f>_xll.RssFOPMarket($E66,P$1)</f>
        <v/>
      </c>
      <c r="Q66" t="str">
        <f>_xll.RssFOPMarket($E66,Q$1)</f>
        <v/>
      </c>
    </row>
    <row r="67" spans="1:17" x14ac:dyDescent="0.4">
      <c r="A67" t="str">
        <f t="shared" si="0"/>
        <v>N225MOP</v>
      </c>
      <c r="B67" t="str">
        <f t="shared" si="0"/>
        <v>202310#3</v>
      </c>
      <c r="C67" t="str">
        <f t="shared" si="0"/>
        <v>C</v>
      </c>
      <c r="D67">
        <f t="shared" si="1"/>
        <v>28375</v>
      </c>
      <c r="E67" t="str">
        <f>_xll.RssFOPCode(A67,B67,IF(C67="C",1,IF(C67="P",2,"")),D67)</f>
        <v>マーケットスピード II にログインして「接続中」の状態に変更してから利用してください。</v>
      </c>
      <c r="F67" t="str">
        <f>_xll.RssFOPMarket($E67,F$1)</f>
        <v/>
      </c>
      <c r="G67" t="str">
        <f>_xll.RssFOPMarket($E67,G$1)</f>
        <v/>
      </c>
      <c r="H67" t="str">
        <f>_xll.RssFOPMarket($E67,H$1)</f>
        <v/>
      </c>
      <c r="I67" t="str">
        <f>_xll.RssFOPMarket($E67,I$1)</f>
        <v/>
      </c>
      <c r="J67" t="str">
        <f>_xll.RssFOPMarket($E67,J$1)</f>
        <v/>
      </c>
      <c r="K67" t="str">
        <f>_xll.RssFOPMarket($E67,K$1)</f>
        <v/>
      </c>
      <c r="L67" t="str">
        <f>_xll.RssFOPMarket($E67,L$1)</f>
        <v/>
      </c>
      <c r="M67" t="str">
        <f>_xll.RssFOPMarket($E67,M$1)</f>
        <v/>
      </c>
      <c r="N67" t="str">
        <f>_xll.RssFOPMarket($E67,N$1)</f>
        <v/>
      </c>
      <c r="O67" t="str">
        <f>_xll.RssFOPMarket($E67,O$1)</f>
        <v/>
      </c>
      <c r="P67" t="str">
        <f>_xll.RssFOPMarket($E67,P$1)</f>
        <v/>
      </c>
      <c r="Q67" t="str">
        <f>_xll.RssFOPMarket($E67,Q$1)</f>
        <v/>
      </c>
    </row>
    <row r="68" spans="1:17" x14ac:dyDescent="0.4">
      <c r="A68" t="str">
        <f>A67</f>
        <v>N225MOP</v>
      </c>
      <c r="B68" t="str">
        <f>B67</f>
        <v>202310#3</v>
      </c>
      <c r="C68" t="str">
        <f>C67</f>
        <v>C</v>
      </c>
      <c r="D68">
        <f>D67-125</f>
        <v>28250</v>
      </c>
      <c r="E68" t="str">
        <f>_xll.RssFOPCode(A68,B68,IF(C68="C",1,IF(C68="P",2,"")),D68)</f>
        <v>マーケットスピード II にログインして「接続中」の状態に変更してから利用してください。</v>
      </c>
      <c r="F68" t="str">
        <f>_xll.RssFOPMarket($E68,F$1)</f>
        <v/>
      </c>
      <c r="G68" t="str">
        <f>_xll.RssFOPMarket($E68,G$1)</f>
        <v/>
      </c>
      <c r="H68" t="str">
        <f>_xll.RssFOPMarket($E68,H$1)</f>
        <v/>
      </c>
      <c r="I68" t="str">
        <f>_xll.RssFOPMarket($E68,I$1)</f>
        <v/>
      </c>
      <c r="J68" t="str">
        <f>_xll.RssFOPMarket($E68,J$1)</f>
        <v/>
      </c>
      <c r="K68" t="str">
        <f>_xll.RssFOPMarket($E68,K$1)</f>
        <v/>
      </c>
      <c r="L68" t="str">
        <f>_xll.RssFOPMarket($E68,L$1)</f>
        <v/>
      </c>
      <c r="M68" t="str">
        <f>_xll.RssFOPMarket($E68,M$1)</f>
        <v/>
      </c>
      <c r="N68" t="str">
        <f>_xll.RssFOPMarket($E68,N$1)</f>
        <v/>
      </c>
      <c r="O68" t="str">
        <f>_xll.RssFOPMarket($E68,O$1)</f>
        <v/>
      </c>
      <c r="P68" t="str">
        <f>_xll.RssFOPMarket($E68,P$1)</f>
        <v/>
      </c>
      <c r="Q68" t="str">
        <f>_xll.RssFOPMarket($E68,Q$1)</f>
        <v/>
      </c>
    </row>
    <row r="101" spans="1:17" x14ac:dyDescent="0.4">
      <c r="A101" t="s">
        <v>23</v>
      </c>
      <c r="B101" t="s">
        <v>24</v>
      </c>
      <c r="C101" t="s">
        <v>13</v>
      </c>
      <c r="D101" t="s">
        <v>25</v>
      </c>
      <c r="E101" t="s">
        <v>26</v>
      </c>
      <c r="F101" t="s">
        <v>27</v>
      </c>
      <c r="G101" t="s">
        <v>28</v>
      </c>
      <c r="H101" t="s">
        <v>29</v>
      </c>
      <c r="I101" t="s">
        <v>30</v>
      </c>
      <c r="J101" t="s">
        <v>31</v>
      </c>
      <c r="K101" t="s">
        <v>32</v>
      </c>
      <c r="L101" t="s">
        <v>33</v>
      </c>
      <c r="M101" t="s">
        <v>34</v>
      </c>
      <c r="N101" t="s">
        <v>35</v>
      </c>
      <c r="O101" t="s">
        <v>36</v>
      </c>
      <c r="P101" t="s">
        <v>37</v>
      </c>
      <c r="Q101" t="s">
        <v>38</v>
      </c>
    </row>
    <row r="102" spans="1:17" x14ac:dyDescent="0.4">
      <c r="A102" t="s">
        <v>14</v>
      </c>
      <c r="B102" t="s">
        <v>18</v>
      </c>
      <c r="C102" t="s">
        <v>15</v>
      </c>
      <c r="D102">
        <v>36500</v>
      </c>
      <c r="E102" t="s">
        <v>90</v>
      </c>
    </row>
    <row r="103" spans="1:17" x14ac:dyDescent="0.4">
      <c r="A103" t="s">
        <v>14</v>
      </c>
      <c r="B103" t="s">
        <v>18</v>
      </c>
      <c r="C103" t="s">
        <v>15</v>
      </c>
      <c r="D103">
        <v>36375</v>
      </c>
      <c r="E103" t="s">
        <v>90</v>
      </c>
    </row>
    <row r="104" spans="1:17" x14ac:dyDescent="0.4">
      <c r="A104" t="s">
        <v>14</v>
      </c>
      <c r="B104" t="s">
        <v>18</v>
      </c>
      <c r="C104" t="s">
        <v>15</v>
      </c>
      <c r="D104">
        <v>36250</v>
      </c>
      <c r="E104" t="s">
        <v>90</v>
      </c>
    </row>
    <row r="105" spans="1:17" x14ac:dyDescent="0.4">
      <c r="A105" t="s">
        <v>14</v>
      </c>
      <c r="B105" t="s">
        <v>18</v>
      </c>
      <c r="C105" t="s">
        <v>15</v>
      </c>
      <c r="D105">
        <v>36125</v>
      </c>
      <c r="E105" t="s">
        <v>90</v>
      </c>
    </row>
    <row r="106" spans="1:17" x14ac:dyDescent="0.4">
      <c r="A106" t="s">
        <v>14</v>
      </c>
      <c r="B106" t="s">
        <v>18</v>
      </c>
      <c r="C106" t="s">
        <v>15</v>
      </c>
      <c r="D106">
        <v>36000</v>
      </c>
      <c r="E106" t="s">
        <v>90</v>
      </c>
    </row>
    <row r="107" spans="1:17" x14ac:dyDescent="0.4">
      <c r="A107" t="s">
        <v>14</v>
      </c>
      <c r="B107" t="s">
        <v>18</v>
      </c>
      <c r="C107" t="s">
        <v>15</v>
      </c>
      <c r="D107">
        <v>35875</v>
      </c>
      <c r="E107" t="s">
        <v>90</v>
      </c>
    </row>
    <row r="108" spans="1:17" x14ac:dyDescent="0.4">
      <c r="A108" t="s">
        <v>14</v>
      </c>
      <c r="B108" t="s">
        <v>18</v>
      </c>
      <c r="C108" t="s">
        <v>15</v>
      </c>
      <c r="D108">
        <v>35750</v>
      </c>
      <c r="E108" t="s">
        <v>90</v>
      </c>
    </row>
    <row r="109" spans="1:17" x14ac:dyDescent="0.4">
      <c r="A109" t="s">
        <v>14</v>
      </c>
      <c r="B109" t="s">
        <v>18</v>
      </c>
      <c r="C109" t="s">
        <v>15</v>
      </c>
      <c r="D109">
        <v>35625</v>
      </c>
      <c r="E109" t="s">
        <v>90</v>
      </c>
    </row>
    <row r="110" spans="1:17" x14ac:dyDescent="0.4">
      <c r="A110" t="s">
        <v>14</v>
      </c>
      <c r="B110" t="s">
        <v>18</v>
      </c>
      <c r="C110" t="s">
        <v>15</v>
      </c>
      <c r="D110">
        <v>35500</v>
      </c>
      <c r="E110" t="s">
        <v>90</v>
      </c>
    </row>
    <row r="111" spans="1:17" x14ac:dyDescent="0.4">
      <c r="A111" t="s">
        <v>14</v>
      </c>
      <c r="B111" t="s">
        <v>18</v>
      </c>
      <c r="C111" t="s">
        <v>15</v>
      </c>
      <c r="D111">
        <v>35375</v>
      </c>
      <c r="E111" t="s">
        <v>90</v>
      </c>
    </row>
    <row r="112" spans="1:17" x14ac:dyDescent="0.4">
      <c r="A112" t="s">
        <v>14</v>
      </c>
      <c r="B112" t="s">
        <v>18</v>
      </c>
      <c r="C112" t="s">
        <v>15</v>
      </c>
      <c r="D112">
        <v>35250</v>
      </c>
      <c r="E112" t="s">
        <v>90</v>
      </c>
    </row>
    <row r="113" spans="1:6" x14ac:dyDescent="0.4">
      <c r="A113" t="s">
        <v>14</v>
      </c>
      <c r="B113" t="s">
        <v>18</v>
      </c>
      <c r="C113" t="s">
        <v>15</v>
      </c>
      <c r="D113">
        <v>35125</v>
      </c>
      <c r="E113" t="s">
        <v>90</v>
      </c>
    </row>
    <row r="114" spans="1:6" x14ac:dyDescent="0.4">
      <c r="A114" t="s">
        <v>14</v>
      </c>
      <c r="B114" t="s">
        <v>18</v>
      </c>
      <c r="C114" t="s">
        <v>15</v>
      </c>
      <c r="D114">
        <v>35000</v>
      </c>
      <c r="E114" t="s">
        <v>90</v>
      </c>
    </row>
    <row r="115" spans="1:6" x14ac:dyDescent="0.4">
      <c r="A115" t="s">
        <v>14</v>
      </c>
      <c r="B115" t="s">
        <v>18</v>
      </c>
      <c r="C115" t="s">
        <v>15</v>
      </c>
      <c r="D115">
        <v>34875</v>
      </c>
      <c r="E115" t="s">
        <v>90</v>
      </c>
    </row>
    <row r="116" spans="1:6" x14ac:dyDescent="0.4">
      <c r="A116" t="s">
        <v>14</v>
      </c>
      <c r="B116" t="s">
        <v>18</v>
      </c>
      <c r="C116" t="s">
        <v>15</v>
      </c>
      <c r="D116">
        <v>34750</v>
      </c>
      <c r="E116" t="s">
        <v>90</v>
      </c>
    </row>
    <row r="117" spans="1:6" x14ac:dyDescent="0.4">
      <c r="A117" t="s">
        <v>14</v>
      </c>
      <c r="B117" t="s">
        <v>18</v>
      </c>
      <c r="C117" t="s">
        <v>15</v>
      </c>
      <c r="D117">
        <v>34625</v>
      </c>
      <c r="E117" t="s">
        <v>90</v>
      </c>
    </row>
    <row r="118" spans="1:6" x14ac:dyDescent="0.4">
      <c r="A118" t="s">
        <v>14</v>
      </c>
      <c r="B118" t="s">
        <v>18</v>
      </c>
      <c r="C118" t="s">
        <v>15</v>
      </c>
      <c r="D118">
        <v>34500</v>
      </c>
      <c r="E118" t="s">
        <v>90</v>
      </c>
    </row>
    <row r="119" spans="1:6" x14ac:dyDescent="0.4">
      <c r="A119" t="s">
        <v>14</v>
      </c>
      <c r="B119" t="s">
        <v>18</v>
      </c>
      <c r="C119" t="s">
        <v>15</v>
      </c>
      <c r="D119">
        <v>34375</v>
      </c>
      <c r="E119" t="s">
        <v>90</v>
      </c>
    </row>
    <row r="120" spans="1:6" x14ac:dyDescent="0.4">
      <c r="A120" t="s">
        <v>14</v>
      </c>
      <c r="B120" t="s">
        <v>18</v>
      </c>
      <c r="C120" t="s">
        <v>15</v>
      </c>
      <c r="D120">
        <v>34250</v>
      </c>
      <c r="E120" t="s">
        <v>90</v>
      </c>
    </row>
    <row r="121" spans="1:6" x14ac:dyDescent="0.4">
      <c r="A121" t="s">
        <v>14</v>
      </c>
      <c r="B121" t="s">
        <v>18</v>
      </c>
      <c r="C121" t="s">
        <v>15</v>
      </c>
      <c r="D121">
        <v>34125</v>
      </c>
      <c r="E121" t="s">
        <v>90</v>
      </c>
    </row>
    <row r="122" spans="1:6" x14ac:dyDescent="0.4">
      <c r="A122" t="s">
        <v>14</v>
      </c>
      <c r="B122" t="s">
        <v>18</v>
      </c>
      <c r="C122" t="s">
        <v>15</v>
      </c>
      <c r="D122">
        <v>34000</v>
      </c>
      <c r="E122" t="s">
        <v>90</v>
      </c>
    </row>
    <row r="123" spans="1:6" x14ac:dyDescent="0.4">
      <c r="A123" t="s">
        <v>14</v>
      </c>
      <c r="B123" t="s">
        <v>18</v>
      </c>
      <c r="C123" t="s">
        <v>15</v>
      </c>
      <c r="D123">
        <v>33875</v>
      </c>
      <c r="E123" t="s">
        <v>90</v>
      </c>
      <c r="F123" s="2"/>
    </row>
    <row r="124" spans="1:6" x14ac:dyDescent="0.4">
      <c r="A124" t="s">
        <v>14</v>
      </c>
      <c r="B124" t="s">
        <v>18</v>
      </c>
      <c r="C124" t="s">
        <v>15</v>
      </c>
      <c r="D124">
        <v>33750</v>
      </c>
      <c r="E124" t="s">
        <v>90</v>
      </c>
      <c r="F124" s="2"/>
    </row>
    <row r="125" spans="1:6" x14ac:dyDescent="0.4">
      <c r="A125" t="s">
        <v>14</v>
      </c>
      <c r="B125" t="s">
        <v>18</v>
      </c>
      <c r="C125" t="s">
        <v>15</v>
      </c>
      <c r="D125">
        <v>33625</v>
      </c>
      <c r="E125" t="s">
        <v>90</v>
      </c>
      <c r="F125" s="2"/>
    </row>
    <row r="126" spans="1:6" x14ac:dyDescent="0.4">
      <c r="A126" t="s">
        <v>14</v>
      </c>
      <c r="B126" t="s">
        <v>18</v>
      </c>
      <c r="C126" t="s">
        <v>15</v>
      </c>
      <c r="D126">
        <v>33500</v>
      </c>
      <c r="E126" t="s">
        <v>90</v>
      </c>
    </row>
    <row r="127" spans="1:6" x14ac:dyDescent="0.4">
      <c r="A127" t="s">
        <v>14</v>
      </c>
      <c r="B127" t="s">
        <v>18</v>
      </c>
      <c r="C127" t="s">
        <v>15</v>
      </c>
      <c r="D127">
        <v>33375</v>
      </c>
      <c r="E127" t="s">
        <v>90</v>
      </c>
      <c r="F127" s="2"/>
    </row>
    <row r="128" spans="1:6" x14ac:dyDescent="0.4">
      <c r="A128" t="s">
        <v>14</v>
      </c>
      <c r="B128" t="s">
        <v>18</v>
      </c>
      <c r="C128" t="s">
        <v>15</v>
      </c>
      <c r="D128">
        <v>33250</v>
      </c>
      <c r="E128" t="s">
        <v>90</v>
      </c>
    </row>
    <row r="129" spans="1:6" x14ac:dyDescent="0.4">
      <c r="A129" t="s">
        <v>14</v>
      </c>
      <c r="B129" t="s">
        <v>18</v>
      </c>
      <c r="C129" t="s">
        <v>15</v>
      </c>
      <c r="D129">
        <v>33125</v>
      </c>
      <c r="E129" t="s">
        <v>90</v>
      </c>
      <c r="F129" s="2"/>
    </row>
    <row r="130" spans="1:6" x14ac:dyDescent="0.4">
      <c r="A130" t="s">
        <v>14</v>
      </c>
      <c r="B130" t="s">
        <v>18</v>
      </c>
      <c r="C130" t="s">
        <v>15</v>
      </c>
      <c r="D130">
        <v>33000</v>
      </c>
      <c r="E130" t="s">
        <v>90</v>
      </c>
      <c r="F130" s="2"/>
    </row>
    <row r="131" spans="1:6" x14ac:dyDescent="0.4">
      <c r="A131" t="s">
        <v>14</v>
      </c>
      <c r="B131" t="s">
        <v>18</v>
      </c>
      <c r="C131" t="s">
        <v>15</v>
      </c>
      <c r="D131">
        <v>32875</v>
      </c>
      <c r="E131" t="s">
        <v>90</v>
      </c>
    </row>
    <row r="132" spans="1:6" x14ac:dyDescent="0.4">
      <c r="A132" t="s">
        <v>14</v>
      </c>
      <c r="B132" t="s">
        <v>18</v>
      </c>
      <c r="C132" t="s">
        <v>15</v>
      </c>
      <c r="D132">
        <v>32750</v>
      </c>
      <c r="E132" t="s">
        <v>90</v>
      </c>
      <c r="F132" s="2"/>
    </row>
    <row r="133" spans="1:6" x14ac:dyDescent="0.4">
      <c r="A133" t="s">
        <v>14</v>
      </c>
      <c r="B133" t="s">
        <v>18</v>
      </c>
      <c r="C133" t="s">
        <v>15</v>
      </c>
      <c r="D133">
        <v>32625</v>
      </c>
      <c r="E133" t="s">
        <v>90</v>
      </c>
      <c r="F133" s="2"/>
    </row>
    <row r="134" spans="1:6" x14ac:dyDescent="0.4">
      <c r="A134" t="s">
        <v>14</v>
      </c>
      <c r="B134" t="s">
        <v>18</v>
      </c>
      <c r="C134" t="s">
        <v>15</v>
      </c>
      <c r="D134">
        <v>32500</v>
      </c>
      <c r="E134" t="s">
        <v>90</v>
      </c>
      <c r="F134" s="2"/>
    </row>
    <row r="135" spans="1:6" x14ac:dyDescent="0.4">
      <c r="A135" t="s">
        <v>14</v>
      </c>
      <c r="B135" t="s">
        <v>18</v>
      </c>
      <c r="C135" t="s">
        <v>15</v>
      </c>
      <c r="D135">
        <v>32375</v>
      </c>
      <c r="E135" t="s">
        <v>90</v>
      </c>
    </row>
    <row r="136" spans="1:6" x14ac:dyDescent="0.4">
      <c r="A136" t="s">
        <v>14</v>
      </c>
      <c r="B136" t="s">
        <v>18</v>
      </c>
      <c r="C136" t="s">
        <v>15</v>
      </c>
      <c r="D136">
        <v>32250</v>
      </c>
      <c r="E136" t="s">
        <v>90</v>
      </c>
      <c r="F136" s="2"/>
    </row>
    <row r="137" spans="1:6" x14ac:dyDescent="0.4">
      <c r="A137" t="s">
        <v>14</v>
      </c>
      <c r="B137" t="s">
        <v>18</v>
      </c>
      <c r="C137" t="s">
        <v>15</v>
      </c>
      <c r="D137">
        <v>32125</v>
      </c>
      <c r="E137" t="s">
        <v>90</v>
      </c>
      <c r="F137" s="2"/>
    </row>
    <row r="138" spans="1:6" x14ac:dyDescent="0.4">
      <c r="A138" t="s">
        <v>14</v>
      </c>
      <c r="B138" t="s">
        <v>18</v>
      </c>
      <c r="C138" t="s">
        <v>15</v>
      </c>
      <c r="D138">
        <v>32000</v>
      </c>
      <c r="E138" t="s">
        <v>90</v>
      </c>
      <c r="F138" s="2"/>
    </row>
    <row r="139" spans="1:6" x14ac:dyDescent="0.4">
      <c r="A139" t="s">
        <v>14</v>
      </c>
      <c r="B139" t="s">
        <v>18</v>
      </c>
      <c r="C139" t="s">
        <v>15</v>
      </c>
      <c r="D139">
        <v>31875</v>
      </c>
      <c r="E139" t="s">
        <v>90</v>
      </c>
      <c r="F139" s="2"/>
    </row>
    <row r="140" spans="1:6" x14ac:dyDescent="0.4">
      <c r="A140" t="s">
        <v>14</v>
      </c>
      <c r="B140" t="s">
        <v>18</v>
      </c>
      <c r="C140" t="s">
        <v>15</v>
      </c>
      <c r="D140">
        <v>31750</v>
      </c>
      <c r="E140" t="s">
        <v>90</v>
      </c>
      <c r="F140" s="2"/>
    </row>
    <row r="141" spans="1:6" x14ac:dyDescent="0.4">
      <c r="A141" t="s">
        <v>14</v>
      </c>
      <c r="B141" t="s">
        <v>18</v>
      </c>
      <c r="C141" t="s">
        <v>15</v>
      </c>
      <c r="D141">
        <v>31625</v>
      </c>
      <c r="E141" t="s">
        <v>90</v>
      </c>
      <c r="F141" s="2"/>
    </row>
    <row r="142" spans="1:6" x14ac:dyDescent="0.4">
      <c r="A142" t="s">
        <v>14</v>
      </c>
      <c r="B142" t="s">
        <v>18</v>
      </c>
      <c r="C142" t="s">
        <v>15</v>
      </c>
      <c r="D142">
        <v>31500</v>
      </c>
      <c r="E142" t="s">
        <v>90</v>
      </c>
      <c r="F142" s="2"/>
    </row>
    <row r="143" spans="1:6" x14ac:dyDescent="0.4">
      <c r="A143" t="s">
        <v>14</v>
      </c>
      <c r="B143" t="s">
        <v>18</v>
      </c>
      <c r="C143" t="s">
        <v>15</v>
      </c>
      <c r="D143">
        <v>31375</v>
      </c>
      <c r="E143" t="s">
        <v>90</v>
      </c>
    </row>
    <row r="144" spans="1:6" x14ac:dyDescent="0.4">
      <c r="A144" t="s">
        <v>14</v>
      </c>
      <c r="B144" t="s">
        <v>18</v>
      </c>
      <c r="C144" t="s">
        <v>15</v>
      </c>
      <c r="D144">
        <v>31250</v>
      </c>
      <c r="E144" t="s">
        <v>90</v>
      </c>
    </row>
    <row r="145" spans="1:5" x14ac:dyDescent="0.4">
      <c r="A145" t="s">
        <v>14</v>
      </c>
      <c r="B145" t="s">
        <v>18</v>
      </c>
      <c r="C145" t="s">
        <v>15</v>
      </c>
      <c r="D145">
        <v>31125</v>
      </c>
      <c r="E145" t="s">
        <v>90</v>
      </c>
    </row>
    <row r="146" spans="1:5" x14ac:dyDescent="0.4">
      <c r="A146" t="s">
        <v>14</v>
      </c>
      <c r="B146" t="s">
        <v>18</v>
      </c>
      <c r="C146" t="s">
        <v>15</v>
      </c>
      <c r="D146">
        <v>31000</v>
      </c>
      <c r="E146" t="s">
        <v>90</v>
      </c>
    </row>
    <row r="147" spans="1:5" x14ac:dyDescent="0.4">
      <c r="A147" t="s">
        <v>14</v>
      </c>
      <c r="B147" t="s">
        <v>18</v>
      </c>
      <c r="C147" t="s">
        <v>15</v>
      </c>
      <c r="D147">
        <v>30875</v>
      </c>
      <c r="E147" t="s">
        <v>90</v>
      </c>
    </row>
    <row r="148" spans="1:5" x14ac:dyDescent="0.4">
      <c r="A148" t="s">
        <v>14</v>
      </c>
      <c r="B148" t="s">
        <v>18</v>
      </c>
      <c r="C148" t="s">
        <v>15</v>
      </c>
      <c r="D148">
        <v>30750</v>
      </c>
      <c r="E148" t="s">
        <v>90</v>
      </c>
    </row>
    <row r="149" spans="1:5" x14ac:dyDescent="0.4">
      <c r="A149" t="s">
        <v>14</v>
      </c>
      <c r="B149" t="s">
        <v>18</v>
      </c>
      <c r="C149" t="s">
        <v>15</v>
      </c>
      <c r="D149">
        <v>30625</v>
      </c>
      <c r="E149" t="s">
        <v>90</v>
      </c>
    </row>
    <row r="150" spans="1:5" x14ac:dyDescent="0.4">
      <c r="A150" t="s">
        <v>14</v>
      </c>
      <c r="B150" t="s">
        <v>18</v>
      </c>
      <c r="C150" t="s">
        <v>15</v>
      </c>
      <c r="D150">
        <v>30500</v>
      </c>
      <c r="E150" t="s">
        <v>90</v>
      </c>
    </row>
    <row r="151" spans="1:5" x14ac:dyDescent="0.4">
      <c r="A151" t="s">
        <v>14</v>
      </c>
      <c r="B151" t="s">
        <v>18</v>
      </c>
      <c r="C151" t="s">
        <v>15</v>
      </c>
      <c r="D151">
        <v>30375</v>
      </c>
      <c r="E151" t="s">
        <v>90</v>
      </c>
    </row>
    <row r="152" spans="1:5" x14ac:dyDescent="0.4">
      <c r="A152" t="s">
        <v>14</v>
      </c>
      <c r="B152" t="s">
        <v>18</v>
      </c>
      <c r="C152" t="s">
        <v>15</v>
      </c>
      <c r="D152">
        <v>30250</v>
      </c>
      <c r="E152" t="s">
        <v>90</v>
      </c>
    </row>
    <row r="153" spans="1:5" x14ac:dyDescent="0.4">
      <c r="A153" t="s">
        <v>14</v>
      </c>
      <c r="B153" t="s">
        <v>18</v>
      </c>
      <c r="C153" t="s">
        <v>15</v>
      </c>
      <c r="D153">
        <v>30125</v>
      </c>
      <c r="E153" t="s">
        <v>90</v>
      </c>
    </row>
    <row r="154" spans="1:5" x14ac:dyDescent="0.4">
      <c r="A154" t="s">
        <v>14</v>
      </c>
      <c r="B154" t="s">
        <v>18</v>
      </c>
      <c r="C154" t="s">
        <v>15</v>
      </c>
      <c r="D154">
        <v>30000</v>
      </c>
      <c r="E154" t="s">
        <v>90</v>
      </c>
    </row>
    <row r="155" spans="1:5" x14ac:dyDescent="0.4">
      <c r="A155" t="s">
        <v>14</v>
      </c>
      <c r="B155" t="s">
        <v>18</v>
      </c>
      <c r="C155" t="s">
        <v>15</v>
      </c>
      <c r="D155">
        <v>29875</v>
      </c>
      <c r="E155" t="s">
        <v>90</v>
      </c>
    </row>
    <row r="156" spans="1:5" x14ac:dyDescent="0.4">
      <c r="A156" t="s">
        <v>14</v>
      </c>
      <c r="B156" t="s">
        <v>18</v>
      </c>
      <c r="C156" t="s">
        <v>15</v>
      </c>
      <c r="D156">
        <v>29750</v>
      </c>
      <c r="E156" t="s">
        <v>90</v>
      </c>
    </row>
    <row r="157" spans="1:5" x14ac:dyDescent="0.4">
      <c r="A157" t="s">
        <v>14</v>
      </c>
      <c r="B157" t="s">
        <v>18</v>
      </c>
      <c r="C157" t="s">
        <v>15</v>
      </c>
      <c r="D157">
        <v>29625</v>
      </c>
      <c r="E157" t="s">
        <v>90</v>
      </c>
    </row>
    <row r="158" spans="1:5" x14ac:dyDescent="0.4">
      <c r="A158" t="s">
        <v>14</v>
      </c>
      <c r="B158" t="s">
        <v>18</v>
      </c>
      <c r="C158" t="s">
        <v>15</v>
      </c>
      <c r="D158">
        <v>29500</v>
      </c>
      <c r="E158" t="s">
        <v>90</v>
      </c>
    </row>
    <row r="159" spans="1:5" x14ac:dyDescent="0.4">
      <c r="A159" t="s">
        <v>14</v>
      </c>
      <c r="B159" t="s">
        <v>18</v>
      </c>
      <c r="C159" t="s">
        <v>15</v>
      </c>
      <c r="D159">
        <v>29375</v>
      </c>
      <c r="E159" t="s">
        <v>90</v>
      </c>
    </row>
    <row r="160" spans="1:5" x14ac:dyDescent="0.4">
      <c r="A160" t="s">
        <v>14</v>
      </c>
      <c r="B160" t="s">
        <v>18</v>
      </c>
      <c r="C160" t="s">
        <v>15</v>
      </c>
      <c r="D160">
        <v>29250</v>
      </c>
      <c r="E160" t="s">
        <v>90</v>
      </c>
    </row>
    <row r="161" spans="1:5" x14ac:dyDescent="0.4">
      <c r="A161" t="s">
        <v>14</v>
      </c>
      <c r="B161" t="s">
        <v>18</v>
      </c>
      <c r="C161" t="s">
        <v>15</v>
      </c>
      <c r="D161">
        <v>29125</v>
      </c>
      <c r="E161" t="s">
        <v>90</v>
      </c>
    </row>
    <row r="162" spans="1:5" x14ac:dyDescent="0.4">
      <c r="A162" t="s">
        <v>14</v>
      </c>
      <c r="B162" t="s">
        <v>18</v>
      </c>
      <c r="C162" t="s">
        <v>15</v>
      </c>
      <c r="D162">
        <v>29000</v>
      </c>
      <c r="E162" t="s">
        <v>90</v>
      </c>
    </row>
    <row r="163" spans="1:5" x14ac:dyDescent="0.4">
      <c r="A163" t="s">
        <v>14</v>
      </c>
      <c r="B163" t="s">
        <v>18</v>
      </c>
      <c r="C163" t="s">
        <v>15</v>
      </c>
      <c r="D163">
        <v>28875</v>
      </c>
      <c r="E163" t="s">
        <v>90</v>
      </c>
    </row>
    <row r="164" spans="1:5" x14ac:dyDescent="0.4">
      <c r="A164" t="s">
        <v>14</v>
      </c>
      <c r="B164" t="s">
        <v>18</v>
      </c>
      <c r="C164" t="s">
        <v>15</v>
      </c>
      <c r="D164">
        <v>28750</v>
      </c>
      <c r="E164" t="s">
        <v>90</v>
      </c>
    </row>
    <row r="165" spans="1:5" x14ac:dyDescent="0.4">
      <c r="A165" t="s">
        <v>14</v>
      </c>
      <c r="B165" t="s">
        <v>18</v>
      </c>
      <c r="C165" t="s">
        <v>15</v>
      </c>
      <c r="D165">
        <v>28625</v>
      </c>
      <c r="E165" t="s">
        <v>90</v>
      </c>
    </row>
    <row r="166" spans="1:5" x14ac:dyDescent="0.4">
      <c r="A166" t="s">
        <v>14</v>
      </c>
      <c r="B166" t="s">
        <v>18</v>
      </c>
      <c r="C166" t="s">
        <v>15</v>
      </c>
      <c r="D166">
        <v>28500</v>
      </c>
      <c r="E166" t="s">
        <v>90</v>
      </c>
    </row>
    <row r="167" spans="1:5" x14ac:dyDescent="0.4">
      <c r="A167" t="s">
        <v>14</v>
      </c>
      <c r="B167" t="s">
        <v>18</v>
      </c>
      <c r="C167" t="s">
        <v>15</v>
      </c>
      <c r="D167">
        <v>28375</v>
      </c>
      <c r="E167" t="s">
        <v>90</v>
      </c>
    </row>
    <row r="168" spans="1:5" x14ac:dyDescent="0.4">
      <c r="A168" t="s">
        <v>14</v>
      </c>
      <c r="B168" t="s">
        <v>18</v>
      </c>
      <c r="C168" t="s">
        <v>15</v>
      </c>
      <c r="D168">
        <v>28250</v>
      </c>
      <c r="E168" t="s">
        <v>90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8B90B-2DC0-4DD5-B115-EDA711DD7E72}">
  <sheetPr codeName="Sheet6"/>
  <dimension ref="A1:Q168"/>
  <sheetViews>
    <sheetView workbookViewId="0">
      <pane ySplit="1" topLeftCell="A102" activePane="bottomLeft" state="frozen"/>
      <selection sqref="A1:XFD1048576"/>
      <selection pane="bottomLeft" activeCell="Q1" sqref="Q1"/>
    </sheetView>
  </sheetViews>
  <sheetFormatPr defaultRowHeight="18.75" x14ac:dyDescent="0.4"/>
  <cols>
    <col min="1" max="1" width="10.25" bestFit="1" customWidth="1"/>
    <col min="2" max="2" width="9.625" bestFit="1" customWidth="1"/>
    <col min="3" max="3" width="4.875" bestFit="1" customWidth="1"/>
    <col min="4" max="4" width="9" bestFit="1" customWidth="1"/>
    <col min="5" max="5" width="11" bestFit="1" customWidth="1"/>
  </cols>
  <sheetData>
    <row r="1" spans="1:17" x14ac:dyDescent="0.4">
      <c r="A1" t="s">
        <v>11</v>
      </c>
      <c r="B1" t="s">
        <v>12</v>
      </c>
      <c r="C1" t="s">
        <v>13</v>
      </c>
      <c r="D1" t="s">
        <v>0</v>
      </c>
      <c r="E1" t="s">
        <v>17</v>
      </c>
      <c r="F1" t="s">
        <v>2</v>
      </c>
      <c r="G1" t="s">
        <v>1</v>
      </c>
      <c r="H1" s="1" t="s">
        <v>21</v>
      </c>
      <c r="I1" t="s">
        <v>9</v>
      </c>
      <c r="J1" t="s">
        <v>10</v>
      </c>
      <c r="K1" t="s">
        <v>3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s="1" t="s">
        <v>22</v>
      </c>
    </row>
    <row r="2" spans="1:17" x14ac:dyDescent="0.4">
      <c r="A2" t="s">
        <v>14</v>
      </c>
      <c r="B2" t="s">
        <v>18</v>
      </c>
      <c r="C2" t="s">
        <v>16</v>
      </c>
      <c r="D2">
        <v>36500</v>
      </c>
      <c r="E2" t="str">
        <f>_xll.RssFOPCode(A2,B2,IF(C2="C",1,IF(C2="P",2,"")),D2)</f>
        <v>マーケットスピード II にログインして「接続中」の状態に変更してから利用してください。</v>
      </c>
      <c r="F2" t="str">
        <f>_xll.RssFOPMarket($E2,F$1)</f>
        <v/>
      </c>
      <c r="G2" t="str">
        <f>_xll.RssFOPMarket($E2,G$1)</f>
        <v/>
      </c>
      <c r="H2" t="str">
        <f>_xll.RssFOPMarket($E2,H$1)</f>
        <v/>
      </c>
      <c r="I2" t="str">
        <f>_xll.RssFOPMarket($E2,I$1)</f>
        <v/>
      </c>
      <c r="J2" t="str">
        <f>_xll.RssFOPMarket($E2,J$1)</f>
        <v/>
      </c>
      <c r="K2" t="str">
        <f>_xll.RssFOPMarket($E2,K$1)</f>
        <v/>
      </c>
      <c r="L2" t="str">
        <f>_xll.RssFOPMarket($E2,L$1)</f>
        <v/>
      </c>
      <c r="M2" t="str">
        <f>_xll.RssFOPMarket($E2,M$1)</f>
        <v/>
      </c>
      <c r="N2" t="str">
        <f>_xll.RssFOPMarket($E2,N$1)</f>
        <v/>
      </c>
      <c r="O2" t="str">
        <f>_xll.RssFOPMarket($E2,O$1)</f>
        <v/>
      </c>
      <c r="P2" t="str">
        <f>_xll.RssFOPMarket($E2,P$1)</f>
        <v/>
      </c>
      <c r="Q2" t="str">
        <f>_xll.RssFOPMarket($E2,Q$1)</f>
        <v/>
      </c>
    </row>
    <row r="3" spans="1:17" x14ac:dyDescent="0.4">
      <c r="A3" t="str">
        <f>A2</f>
        <v>N225MOP</v>
      </c>
      <c r="B3" t="str">
        <f>B2</f>
        <v>202310#3</v>
      </c>
      <c r="C3" t="str">
        <f>C2</f>
        <v>P</v>
      </c>
      <c r="D3">
        <f>D2-125</f>
        <v>36375</v>
      </c>
      <c r="E3" t="str">
        <f>_xll.RssFOPCode(A3,B3,IF(C3="C",1,IF(C3="P",2,"")),D3)</f>
        <v>マーケットスピード II にログインして「接続中」の状態に変更してから利用してください。</v>
      </c>
      <c r="F3" t="str">
        <f>_xll.RssFOPMarket($E3,F$1)</f>
        <v/>
      </c>
      <c r="G3" t="str">
        <f>_xll.RssFOPMarket($E3,G$1)</f>
        <v/>
      </c>
      <c r="H3" t="str">
        <f>_xll.RssFOPMarket($E3,H$1)</f>
        <v/>
      </c>
      <c r="I3" t="str">
        <f>_xll.RssFOPMarket($E3,I$1)</f>
        <v/>
      </c>
      <c r="J3" t="str">
        <f>_xll.RssFOPMarket($E3,J$1)</f>
        <v/>
      </c>
      <c r="K3" t="str">
        <f>_xll.RssFOPMarket($E3,K$1)</f>
        <v/>
      </c>
      <c r="L3" t="str">
        <f>_xll.RssFOPMarket($E3,L$1)</f>
        <v/>
      </c>
      <c r="M3" t="str">
        <f>_xll.RssFOPMarket($E3,M$1)</f>
        <v/>
      </c>
      <c r="N3" t="str">
        <f>_xll.RssFOPMarket($E3,N$1)</f>
        <v/>
      </c>
      <c r="O3" t="str">
        <f>_xll.RssFOPMarket($E3,O$1)</f>
        <v/>
      </c>
      <c r="P3" t="str">
        <f>_xll.RssFOPMarket($E3,P$1)</f>
        <v/>
      </c>
      <c r="Q3" t="str">
        <f>_xll.RssFOPMarket($E3,Q$1)</f>
        <v/>
      </c>
    </row>
    <row r="4" spans="1:17" x14ac:dyDescent="0.4">
      <c r="A4" t="str">
        <f t="shared" ref="A4:C67" si="0">A3</f>
        <v>N225MOP</v>
      </c>
      <c r="B4" t="str">
        <f t="shared" si="0"/>
        <v>202310#3</v>
      </c>
      <c r="C4" t="str">
        <f t="shared" si="0"/>
        <v>P</v>
      </c>
      <c r="D4">
        <f t="shared" ref="D4:D67" si="1">D3-125</f>
        <v>36250</v>
      </c>
      <c r="E4" t="str">
        <f>_xll.RssFOPCode(A4,B4,IF(C4="C",1,IF(C4="P",2,"")),D4)</f>
        <v>マーケットスピード II にログインして「接続中」の状態に変更してから利用してください。</v>
      </c>
      <c r="F4" t="str">
        <f>_xll.RssFOPMarket($E4,F$1)</f>
        <v/>
      </c>
      <c r="G4" t="str">
        <f>_xll.RssFOPMarket($E4,G$1)</f>
        <v/>
      </c>
      <c r="H4" t="str">
        <f>_xll.RssFOPMarket($E4,H$1)</f>
        <v/>
      </c>
      <c r="I4" t="str">
        <f>_xll.RssFOPMarket($E4,I$1)</f>
        <v/>
      </c>
      <c r="J4" t="str">
        <f>_xll.RssFOPMarket($E4,J$1)</f>
        <v/>
      </c>
      <c r="K4" t="str">
        <f>_xll.RssFOPMarket($E4,K$1)</f>
        <v/>
      </c>
      <c r="L4" t="str">
        <f>_xll.RssFOPMarket($E4,L$1)</f>
        <v/>
      </c>
      <c r="M4" t="str">
        <f>_xll.RssFOPMarket($E4,M$1)</f>
        <v/>
      </c>
      <c r="N4" t="str">
        <f>_xll.RssFOPMarket($E4,N$1)</f>
        <v/>
      </c>
      <c r="O4" t="str">
        <f>_xll.RssFOPMarket($E4,O$1)</f>
        <v/>
      </c>
      <c r="P4" t="str">
        <f>_xll.RssFOPMarket($E4,P$1)</f>
        <v/>
      </c>
      <c r="Q4" t="str">
        <f>_xll.RssFOPMarket($E4,Q$1)</f>
        <v/>
      </c>
    </row>
    <row r="5" spans="1:17" x14ac:dyDescent="0.4">
      <c r="A5" t="str">
        <f t="shared" si="0"/>
        <v>N225MOP</v>
      </c>
      <c r="B5" t="str">
        <f t="shared" si="0"/>
        <v>202310#3</v>
      </c>
      <c r="C5" t="str">
        <f t="shared" si="0"/>
        <v>P</v>
      </c>
      <c r="D5">
        <f t="shared" si="1"/>
        <v>36125</v>
      </c>
      <c r="E5" t="str">
        <f>_xll.RssFOPCode(A5,B5,IF(C5="C",1,IF(C5="P",2,"")),D5)</f>
        <v>マーケットスピード II にログインして「接続中」の状態に変更してから利用してください。</v>
      </c>
      <c r="F5" t="str">
        <f>_xll.RssFOPMarket($E5,F$1)</f>
        <v/>
      </c>
      <c r="G5" t="str">
        <f>_xll.RssFOPMarket($E5,G$1)</f>
        <v/>
      </c>
      <c r="H5" t="str">
        <f>_xll.RssFOPMarket($E5,H$1)</f>
        <v/>
      </c>
      <c r="I5" t="str">
        <f>_xll.RssFOPMarket($E5,I$1)</f>
        <v/>
      </c>
      <c r="J5" t="str">
        <f>_xll.RssFOPMarket($E5,J$1)</f>
        <v/>
      </c>
      <c r="K5" t="str">
        <f>_xll.RssFOPMarket($E5,K$1)</f>
        <v/>
      </c>
      <c r="L5" t="str">
        <f>_xll.RssFOPMarket($E5,L$1)</f>
        <v/>
      </c>
      <c r="M5" t="str">
        <f>_xll.RssFOPMarket($E5,M$1)</f>
        <v/>
      </c>
      <c r="N5" t="str">
        <f>_xll.RssFOPMarket($E5,N$1)</f>
        <v/>
      </c>
      <c r="O5" t="str">
        <f>_xll.RssFOPMarket($E5,O$1)</f>
        <v/>
      </c>
      <c r="P5" t="str">
        <f>_xll.RssFOPMarket($E5,P$1)</f>
        <v/>
      </c>
      <c r="Q5" t="str">
        <f>_xll.RssFOPMarket($E5,Q$1)</f>
        <v/>
      </c>
    </row>
    <row r="6" spans="1:17" x14ac:dyDescent="0.4">
      <c r="A6" t="str">
        <f t="shared" si="0"/>
        <v>N225MOP</v>
      </c>
      <c r="B6" t="str">
        <f t="shared" si="0"/>
        <v>202310#3</v>
      </c>
      <c r="C6" t="str">
        <f t="shared" si="0"/>
        <v>P</v>
      </c>
      <c r="D6">
        <f t="shared" si="1"/>
        <v>36000</v>
      </c>
      <c r="E6" t="str">
        <f>_xll.RssFOPCode(A6,B6,IF(C6="C",1,IF(C6="P",2,"")),D6)</f>
        <v>マーケットスピード II にログインして「接続中」の状態に変更してから利用してください。</v>
      </c>
      <c r="F6" t="str">
        <f>_xll.RssFOPMarket($E6,F$1)</f>
        <v/>
      </c>
      <c r="G6" t="str">
        <f>_xll.RssFOPMarket($E6,G$1)</f>
        <v/>
      </c>
      <c r="H6" t="str">
        <f>_xll.RssFOPMarket($E6,H$1)</f>
        <v/>
      </c>
      <c r="I6" t="str">
        <f>_xll.RssFOPMarket($E6,I$1)</f>
        <v/>
      </c>
      <c r="J6" t="str">
        <f>_xll.RssFOPMarket($E6,J$1)</f>
        <v/>
      </c>
      <c r="K6" t="str">
        <f>_xll.RssFOPMarket($E6,K$1)</f>
        <v/>
      </c>
      <c r="L6" t="str">
        <f>_xll.RssFOPMarket($E6,L$1)</f>
        <v/>
      </c>
      <c r="M6" t="str">
        <f>_xll.RssFOPMarket($E6,M$1)</f>
        <v/>
      </c>
      <c r="N6" t="str">
        <f>_xll.RssFOPMarket($E6,N$1)</f>
        <v/>
      </c>
      <c r="O6" t="str">
        <f>_xll.RssFOPMarket($E6,O$1)</f>
        <v/>
      </c>
      <c r="P6" t="str">
        <f>_xll.RssFOPMarket($E6,P$1)</f>
        <v/>
      </c>
      <c r="Q6" t="str">
        <f>_xll.RssFOPMarket($E6,Q$1)</f>
        <v/>
      </c>
    </row>
    <row r="7" spans="1:17" x14ac:dyDescent="0.4">
      <c r="A7" t="str">
        <f t="shared" si="0"/>
        <v>N225MOP</v>
      </c>
      <c r="B7" t="str">
        <f t="shared" si="0"/>
        <v>202310#3</v>
      </c>
      <c r="C7" t="str">
        <f t="shared" si="0"/>
        <v>P</v>
      </c>
      <c r="D7">
        <f t="shared" si="1"/>
        <v>35875</v>
      </c>
      <c r="E7" t="str">
        <f>_xll.RssFOPCode(A7,B7,IF(C7="C",1,IF(C7="P",2,"")),D7)</f>
        <v>マーケットスピード II にログインして「接続中」の状態に変更してから利用してください。</v>
      </c>
      <c r="F7" t="str">
        <f>_xll.RssFOPMarket($E7,F$1)</f>
        <v/>
      </c>
      <c r="G7" t="str">
        <f>_xll.RssFOPMarket($E7,G$1)</f>
        <v/>
      </c>
      <c r="H7" t="str">
        <f>_xll.RssFOPMarket($E7,H$1)</f>
        <v/>
      </c>
      <c r="I7" t="str">
        <f>_xll.RssFOPMarket($E7,I$1)</f>
        <v/>
      </c>
      <c r="J7" t="str">
        <f>_xll.RssFOPMarket($E7,J$1)</f>
        <v/>
      </c>
      <c r="K7" t="str">
        <f>_xll.RssFOPMarket($E7,K$1)</f>
        <v/>
      </c>
      <c r="L7" t="str">
        <f>_xll.RssFOPMarket($E7,L$1)</f>
        <v/>
      </c>
      <c r="M7" t="str">
        <f>_xll.RssFOPMarket($E7,M$1)</f>
        <v/>
      </c>
      <c r="N7" t="str">
        <f>_xll.RssFOPMarket($E7,N$1)</f>
        <v/>
      </c>
      <c r="O7" t="str">
        <f>_xll.RssFOPMarket($E7,O$1)</f>
        <v/>
      </c>
      <c r="P7" t="str">
        <f>_xll.RssFOPMarket($E7,P$1)</f>
        <v/>
      </c>
      <c r="Q7" t="str">
        <f>_xll.RssFOPMarket($E7,Q$1)</f>
        <v/>
      </c>
    </row>
    <row r="8" spans="1:17" x14ac:dyDescent="0.4">
      <c r="A8" t="str">
        <f t="shared" si="0"/>
        <v>N225MOP</v>
      </c>
      <c r="B8" t="str">
        <f t="shared" si="0"/>
        <v>202310#3</v>
      </c>
      <c r="C8" t="str">
        <f t="shared" si="0"/>
        <v>P</v>
      </c>
      <c r="D8">
        <f t="shared" si="1"/>
        <v>35750</v>
      </c>
      <c r="E8" t="str">
        <f>_xll.RssFOPCode(A8,B8,IF(C8="C",1,IF(C8="P",2,"")),D8)</f>
        <v>マーケットスピード II にログインして「接続中」の状態に変更してから利用してください。</v>
      </c>
      <c r="F8" t="str">
        <f>_xll.RssFOPMarket($E8,F$1)</f>
        <v/>
      </c>
      <c r="G8" t="str">
        <f>_xll.RssFOPMarket($E8,G$1)</f>
        <v/>
      </c>
      <c r="H8" t="str">
        <f>_xll.RssFOPMarket($E8,H$1)</f>
        <v/>
      </c>
      <c r="I8" t="str">
        <f>_xll.RssFOPMarket($E8,I$1)</f>
        <v/>
      </c>
      <c r="J8" t="str">
        <f>_xll.RssFOPMarket($E8,J$1)</f>
        <v/>
      </c>
      <c r="K8" t="str">
        <f>_xll.RssFOPMarket($E8,K$1)</f>
        <v/>
      </c>
      <c r="L8" t="str">
        <f>_xll.RssFOPMarket($E8,L$1)</f>
        <v/>
      </c>
      <c r="M8" t="str">
        <f>_xll.RssFOPMarket($E8,M$1)</f>
        <v/>
      </c>
      <c r="N8" t="str">
        <f>_xll.RssFOPMarket($E8,N$1)</f>
        <v/>
      </c>
      <c r="O8" t="str">
        <f>_xll.RssFOPMarket($E8,O$1)</f>
        <v/>
      </c>
      <c r="P8" t="str">
        <f>_xll.RssFOPMarket($E8,P$1)</f>
        <v/>
      </c>
      <c r="Q8" t="str">
        <f>_xll.RssFOPMarket($E8,Q$1)</f>
        <v/>
      </c>
    </row>
    <row r="9" spans="1:17" x14ac:dyDescent="0.4">
      <c r="A9" t="str">
        <f t="shared" si="0"/>
        <v>N225MOP</v>
      </c>
      <c r="B9" t="str">
        <f t="shared" si="0"/>
        <v>202310#3</v>
      </c>
      <c r="C9" t="str">
        <f t="shared" si="0"/>
        <v>P</v>
      </c>
      <c r="D9">
        <f t="shared" si="1"/>
        <v>35625</v>
      </c>
      <c r="E9" t="str">
        <f>_xll.RssFOPCode(A9,B9,IF(C9="C",1,IF(C9="P",2,"")),D9)</f>
        <v>マーケットスピード II にログインして「接続中」の状態に変更してから利用してください。</v>
      </c>
      <c r="F9" t="str">
        <f>_xll.RssFOPMarket($E9,F$1)</f>
        <v/>
      </c>
      <c r="G9" t="str">
        <f>_xll.RssFOPMarket($E9,G$1)</f>
        <v/>
      </c>
      <c r="H9" t="str">
        <f>_xll.RssFOPMarket($E9,H$1)</f>
        <v/>
      </c>
      <c r="I9" t="str">
        <f>_xll.RssFOPMarket($E9,I$1)</f>
        <v/>
      </c>
      <c r="J9" t="str">
        <f>_xll.RssFOPMarket($E9,J$1)</f>
        <v/>
      </c>
      <c r="K9" t="str">
        <f>_xll.RssFOPMarket($E9,K$1)</f>
        <v/>
      </c>
      <c r="L9" t="str">
        <f>_xll.RssFOPMarket($E9,L$1)</f>
        <v/>
      </c>
      <c r="M9" t="str">
        <f>_xll.RssFOPMarket($E9,M$1)</f>
        <v/>
      </c>
      <c r="N9" t="str">
        <f>_xll.RssFOPMarket($E9,N$1)</f>
        <v/>
      </c>
      <c r="O9" t="str">
        <f>_xll.RssFOPMarket($E9,O$1)</f>
        <v/>
      </c>
      <c r="P9" t="str">
        <f>_xll.RssFOPMarket($E9,P$1)</f>
        <v/>
      </c>
      <c r="Q9" t="str">
        <f>_xll.RssFOPMarket($E9,Q$1)</f>
        <v/>
      </c>
    </row>
    <row r="10" spans="1:17" x14ac:dyDescent="0.4">
      <c r="A10" t="str">
        <f t="shared" si="0"/>
        <v>N225MOP</v>
      </c>
      <c r="B10" t="str">
        <f t="shared" si="0"/>
        <v>202310#3</v>
      </c>
      <c r="C10" t="str">
        <f t="shared" si="0"/>
        <v>P</v>
      </c>
      <c r="D10">
        <f t="shared" si="1"/>
        <v>35500</v>
      </c>
      <c r="E10" t="str">
        <f>_xll.RssFOPCode(A10,B10,IF(C10="C",1,IF(C10="P",2,"")),D10)</f>
        <v>マーケットスピード II にログインして「接続中」の状態に変更してから利用してください。</v>
      </c>
      <c r="F10" t="str">
        <f>_xll.RssFOPMarket($E10,F$1)</f>
        <v/>
      </c>
      <c r="G10" t="str">
        <f>_xll.RssFOPMarket($E10,G$1)</f>
        <v/>
      </c>
      <c r="H10" t="str">
        <f>_xll.RssFOPMarket($E10,H$1)</f>
        <v/>
      </c>
      <c r="I10" t="str">
        <f>_xll.RssFOPMarket($E10,I$1)</f>
        <v/>
      </c>
      <c r="J10" t="str">
        <f>_xll.RssFOPMarket($E10,J$1)</f>
        <v/>
      </c>
      <c r="K10" t="str">
        <f>_xll.RssFOPMarket($E10,K$1)</f>
        <v/>
      </c>
      <c r="L10" t="str">
        <f>_xll.RssFOPMarket($E10,L$1)</f>
        <v/>
      </c>
      <c r="M10" t="str">
        <f>_xll.RssFOPMarket($E10,M$1)</f>
        <v/>
      </c>
      <c r="N10" t="str">
        <f>_xll.RssFOPMarket($E10,N$1)</f>
        <v/>
      </c>
      <c r="O10" t="str">
        <f>_xll.RssFOPMarket($E10,O$1)</f>
        <v/>
      </c>
      <c r="P10" t="str">
        <f>_xll.RssFOPMarket($E10,P$1)</f>
        <v/>
      </c>
      <c r="Q10" t="str">
        <f>_xll.RssFOPMarket($E10,Q$1)</f>
        <v/>
      </c>
    </row>
    <row r="11" spans="1:17" x14ac:dyDescent="0.4">
      <c r="A11" t="str">
        <f t="shared" si="0"/>
        <v>N225MOP</v>
      </c>
      <c r="B11" t="str">
        <f t="shared" si="0"/>
        <v>202310#3</v>
      </c>
      <c r="C11" t="str">
        <f t="shared" si="0"/>
        <v>P</v>
      </c>
      <c r="D11">
        <f t="shared" si="1"/>
        <v>35375</v>
      </c>
      <c r="E11" t="str">
        <f>_xll.RssFOPCode(A11,B11,IF(C11="C",1,IF(C11="P",2,"")),D11)</f>
        <v>マーケットスピード II にログインして「接続中」の状態に変更してから利用してください。</v>
      </c>
      <c r="F11" t="str">
        <f>_xll.RssFOPMarket($E11,F$1)</f>
        <v/>
      </c>
      <c r="G11" t="str">
        <f>_xll.RssFOPMarket($E11,G$1)</f>
        <v/>
      </c>
      <c r="H11" t="str">
        <f>_xll.RssFOPMarket($E11,H$1)</f>
        <v/>
      </c>
      <c r="I11" t="str">
        <f>_xll.RssFOPMarket($E11,I$1)</f>
        <v/>
      </c>
      <c r="J11" t="str">
        <f>_xll.RssFOPMarket($E11,J$1)</f>
        <v/>
      </c>
      <c r="K11" t="str">
        <f>_xll.RssFOPMarket($E11,K$1)</f>
        <v/>
      </c>
      <c r="L11" t="str">
        <f>_xll.RssFOPMarket($E11,L$1)</f>
        <v/>
      </c>
      <c r="M11" t="str">
        <f>_xll.RssFOPMarket($E11,M$1)</f>
        <v/>
      </c>
      <c r="N11" t="str">
        <f>_xll.RssFOPMarket($E11,N$1)</f>
        <v/>
      </c>
      <c r="O11" t="str">
        <f>_xll.RssFOPMarket($E11,O$1)</f>
        <v/>
      </c>
      <c r="P11" t="str">
        <f>_xll.RssFOPMarket($E11,P$1)</f>
        <v/>
      </c>
      <c r="Q11" t="str">
        <f>_xll.RssFOPMarket($E11,Q$1)</f>
        <v/>
      </c>
    </row>
    <row r="12" spans="1:17" x14ac:dyDescent="0.4">
      <c r="A12" t="str">
        <f t="shared" si="0"/>
        <v>N225MOP</v>
      </c>
      <c r="B12" t="str">
        <f t="shared" si="0"/>
        <v>202310#3</v>
      </c>
      <c r="C12" t="str">
        <f t="shared" si="0"/>
        <v>P</v>
      </c>
      <c r="D12">
        <f t="shared" si="1"/>
        <v>35250</v>
      </c>
      <c r="E12" t="str">
        <f>_xll.RssFOPCode(A12,B12,IF(C12="C",1,IF(C12="P",2,"")),D12)</f>
        <v>マーケットスピード II にログインして「接続中」の状態に変更してから利用してください。</v>
      </c>
      <c r="F12" t="str">
        <f>_xll.RssFOPMarket($E12,F$1)</f>
        <v/>
      </c>
      <c r="G12" t="str">
        <f>_xll.RssFOPMarket($E12,G$1)</f>
        <v/>
      </c>
      <c r="H12" t="str">
        <f>_xll.RssFOPMarket($E12,H$1)</f>
        <v/>
      </c>
      <c r="I12" t="str">
        <f>_xll.RssFOPMarket($E12,I$1)</f>
        <v/>
      </c>
      <c r="J12" t="str">
        <f>_xll.RssFOPMarket($E12,J$1)</f>
        <v/>
      </c>
      <c r="K12" t="str">
        <f>_xll.RssFOPMarket($E12,K$1)</f>
        <v/>
      </c>
      <c r="L12" t="str">
        <f>_xll.RssFOPMarket($E12,L$1)</f>
        <v/>
      </c>
      <c r="M12" t="str">
        <f>_xll.RssFOPMarket($E12,M$1)</f>
        <v/>
      </c>
      <c r="N12" t="str">
        <f>_xll.RssFOPMarket($E12,N$1)</f>
        <v/>
      </c>
      <c r="O12" t="str">
        <f>_xll.RssFOPMarket($E12,O$1)</f>
        <v/>
      </c>
      <c r="P12" t="str">
        <f>_xll.RssFOPMarket($E12,P$1)</f>
        <v/>
      </c>
      <c r="Q12" t="str">
        <f>_xll.RssFOPMarket($E12,Q$1)</f>
        <v/>
      </c>
    </row>
    <row r="13" spans="1:17" x14ac:dyDescent="0.4">
      <c r="A13" t="str">
        <f t="shared" si="0"/>
        <v>N225MOP</v>
      </c>
      <c r="B13" t="str">
        <f t="shared" si="0"/>
        <v>202310#3</v>
      </c>
      <c r="C13" t="str">
        <f t="shared" si="0"/>
        <v>P</v>
      </c>
      <c r="D13">
        <f t="shared" si="1"/>
        <v>35125</v>
      </c>
      <c r="E13" t="str">
        <f>_xll.RssFOPCode(A13,B13,IF(C13="C",1,IF(C13="P",2,"")),D13)</f>
        <v>マーケットスピード II にログインして「接続中」の状態に変更してから利用してください。</v>
      </c>
      <c r="F13" t="str">
        <f>_xll.RssFOPMarket($E13,F$1)</f>
        <v/>
      </c>
      <c r="G13" t="str">
        <f>_xll.RssFOPMarket($E13,G$1)</f>
        <v/>
      </c>
      <c r="H13" t="str">
        <f>_xll.RssFOPMarket($E13,H$1)</f>
        <v/>
      </c>
      <c r="I13" t="str">
        <f>_xll.RssFOPMarket($E13,I$1)</f>
        <v/>
      </c>
      <c r="J13" t="str">
        <f>_xll.RssFOPMarket($E13,J$1)</f>
        <v/>
      </c>
      <c r="K13" t="str">
        <f>_xll.RssFOPMarket($E13,K$1)</f>
        <v/>
      </c>
      <c r="L13" t="str">
        <f>_xll.RssFOPMarket($E13,L$1)</f>
        <v/>
      </c>
      <c r="M13" t="str">
        <f>_xll.RssFOPMarket($E13,M$1)</f>
        <v/>
      </c>
      <c r="N13" t="str">
        <f>_xll.RssFOPMarket($E13,N$1)</f>
        <v/>
      </c>
      <c r="O13" t="str">
        <f>_xll.RssFOPMarket($E13,O$1)</f>
        <v/>
      </c>
      <c r="P13" t="str">
        <f>_xll.RssFOPMarket($E13,P$1)</f>
        <v/>
      </c>
      <c r="Q13" t="str">
        <f>_xll.RssFOPMarket($E13,Q$1)</f>
        <v/>
      </c>
    </row>
    <row r="14" spans="1:17" x14ac:dyDescent="0.4">
      <c r="A14" t="str">
        <f t="shared" si="0"/>
        <v>N225MOP</v>
      </c>
      <c r="B14" t="str">
        <f t="shared" si="0"/>
        <v>202310#3</v>
      </c>
      <c r="C14" t="str">
        <f t="shared" si="0"/>
        <v>P</v>
      </c>
      <c r="D14">
        <f t="shared" si="1"/>
        <v>35000</v>
      </c>
      <c r="E14" t="str">
        <f>_xll.RssFOPCode(A14,B14,IF(C14="C",1,IF(C14="P",2,"")),D14)</f>
        <v>マーケットスピード II にログインして「接続中」の状態に変更してから利用してください。</v>
      </c>
      <c r="F14" t="str">
        <f>_xll.RssFOPMarket($E14,F$1)</f>
        <v/>
      </c>
      <c r="G14" t="str">
        <f>_xll.RssFOPMarket($E14,G$1)</f>
        <v/>
      </c>
      <c r="H14" t="str">
        <f>_xll.RssFOPMarket($E14,H$1)</f>
        <v/>
      </c>
      <c r="I14" t="str">
        <f>_xll.RssFOPMarket($E14,I$1)</f>
        <v/>
      </c>
      <c r="J14" t="str">
        <f>_xll.RssFOPMarket($E14,J$1)</f>
        <v/>
      </c>
      <c r="K14" t="str">
        <f>_xll.RssFOPMarket($E14,K$1)</f>
        <v/>
      </c>
      <c r="L14" t="str">
        <f>_xll.RssFOPMarket($E14,L$1)</f>
        <v/>
      </c>
      <c r="M14" t="str">
        <f>_xll.RssFOPMarket($E14,M$1)</f>
        <v/>
      </c>
      <c r="N14" t="str">
        <f>_xll.RssFOPMarket($E14,N$1)</f>
        <v/>
      </c>
      <c r="O14" t="str">
        <f>_xll.RssFOPMarket($E14,O$1)</f>
        <v/>
      </c>
      <c r="P14" t="str">
        <f>_xll.RssFOPMarket($E14,P$1)</f>
        <v/>
      </c>
      <c r="Q14" t="str">
        <f>_xll.RssFOPMarket($E14,Q$1)</f>
        <v/>
      </c>
    </row>
    <row r="15" spans="1:17" x14ac:dyDescent="0.4">
      <c r="A15" t="str">
        <f t="shared" si="0"/>
        <v>N225MOP</v>
      </c>
      <c r="B15" t="str">
        <f t="shared" si="0"/>
        <v>202310#3</v>
      </c>
      <c r="C15" t="str">
        <f t="shared" si="0"/>
        <v>P</v>
      </c>
      <c r="D15">
        <f t="shared" si="1"/>
        <v>34875</v>
      </c>
      <c r="E15" t="str">
        <f>_xll.RssFOPCode(A15,B15,IF(C15="C",1,IF(C15="P",2,"")),D15)</f>
        <v>マーケットスピード II にログインして「接続中」の状態に変更してから利用してください。</v>
      </c>
      <c r="F15" t="str">
        <f>_xll.RssFOPMarket($E15,F$1)</f>
        <v/>
      </c>
      <c r="G15" t="str">
        <f>_xll.RssFOPMarket($E15,G$1)</f>
        <v/>
      </c>
      <c r="H15" t="str">
        <f>_xll.RssFOPMarket($E15,H$1)</f>
        <v/>
      </c>
      <c r="I15" t="str">
        <f>_xll.RssFOPMarket($E15,I$1)</f>
        <v/>
      </c>
      <c r="J15" t="str">
        <f>_xll.RssFOPMarket($E15,J$1)</f>
        <v/>
      </c>
      <c r="K15" t="str">
        <f>_xll.RssFOPMarket($E15,K$1)</f>
        <v/>
      </c>
      <c r="L15" t="str">
        <f>_xll.RssFOPMarket($E15,L$1)</f>
        <v/>
      </c>
      <c r="M15" t="str">
        <f>_xll.RssFOPMarket($E15,M$1)</f>
        <v/>
      </c>
      <c r="N15" t="str">
        <f>_xll.RssFOPMarket($E15,N$1)</f>
        <v/>
      </c>
      <c r="O15" t="str">
        <f>_xll.RssFOPMarket($E15,O$1)</f>
        <v/>
      </c>
      <c r="P15" t="str">
        <f>_xll.RssFOPMarket($E15,P$1)</f>
        <v/>
      </c>
      <c r="Q15" t="str">
        <f>_xll.RssFOPMarket($E15,Q$1)</f>
        <v/>
      </c>
    </row>
    <row r="16" spans="1:17" x14ac:dyDescent="0.4">
      <c r="A16" t="str">
        <f t="shared" si="0"/>
        <v>N225MOP</v>
      </c>
      <c r="B16" t="str">
        <f t="shared" si="0"/>
        <v>202310#3</v>
      </c>
      <c r="C16" t="str">
        <f t="shared" si="0"/>
        <v>P</v>
      </c>
      <c r="D16">
        <f t="shared" si="1"/>
        <v>34750</v>
      </c>
      <c r="E16" t="str">
        <f>_xll.RssFOPCode(A16,B16,IF(C16="C",1,IF(C16="P",2,"")),D16)</f>
        <v>マーケットスピード II にログインして「接続中」の状態に変更してから利用してください。</v>
      </c>
      <c r="F16" t="str">
        <f>_xll.RssFOPMarket($E16,F$1)</f>
        <v/>
      </c>
      <c r="G16" t="str">
        <f>_xll.RssFOPMarket($E16,G$1)</f>
        <v/>
      </c>
      <c r="H16" t="str">
        <f>_xll.RssFOPMarket($E16,H$1)</f>
        <v/>
      </c>
      <c r="I16" t="str">
        <f>_xll.RssFOPMarket($E16,I$1)</f>
        <v/>
      </c>
      <c r="J16" t="str">
        <f>_xll.RssFOPMarket($E16,J$1)</f>
        <v/>
      </c>
      <c r="K16" t="str">
        <f>_xll.RssFOPMarket($E16,K$1)</f>
        <v/>
      </c>
      <c r="L16" t="str">
        <f>_xll.RssFOPMarket($E16,L$1)</f>
        <v/>
      </c>
      <c r="M16" t="str">
        <f>_xll.RssFOPMarket($E16,M$1)</f>
        <v/>
      </c>
      <c r="N16" t="str">
        <f>_xll.RssFOPMarket($E16,N$1)</f>
        <v/>
      </c>
      <c r="O16" t="str">
        <f>_xll.RssFOPMarket($E16,O$1)</f>
        <v/>
      </c>
      <c r="P16" t="str">
        <f>_xll.RssFOPMarket($E16,P$1)</f>
        <v/>
      </c>
      <c r="Q16" t="str">
        <f>_xll.RssFOPMarket($E16,Q$1)</f>
        <v/>
      </c>
    </row>
    <row r="17" spans="1:17" x14ac:dyDescent="0.4">
      <c r="A17" t="str">
        <f t="shared" si="0"/>
        <v>N225MOP</v>
      </c>
      <c r="B17" t="str">
        <f t="shared" si="0"/>
        <v>202310#3</v>
      </c>
      <c r="C17" t="str">
        <f t="shared" si="0"/>
        <v>P</v>
      </c>
      <c r="D17">
        <f t="shared" si="1"/>
        <v>34625</v>
      </c>
      <c r="E17" t="str">
        <f>_xll.RssFOPCode(A17,B17,IF(C17="C",1,IF(C17="P",2,"")),D17)</f>
        <v>マーケットスピード II にログインして「接続中」の状態に変更してから利用してください。</v>
      </c>
      <c r="F17" t="str">
        <f>_xll.RssFOPMarket($E17,F$1)</f>
        <v/>
      </c>
      <c r="G17" t="str">
        <f>_xll.RssFOPMarket($E17,G$1)</f>
        <v/>
      </c>
      <c r="H17" t="str">
        <f>_xll.RssFOPMarket($E17,H$1)</f>
        <v/>
      </c>
      <c r="I17" t="str">
        <f>_xll.RssFOPMarket($E17,I$1)</f>
        <v/>
      </c>
      <c r="J17" t="str">
        <f>_xll.RssFOPMarket($E17,J$1)</f>
        <v/>
      </c>
      <c r="K17" t="str">
        <f>_xll.RssFOPMarket($E17,K$1)</f>
        <v/>
      </c>
      <c r="L17" t="str">
        <f>_xll.RssFOPMarket($E17,L$1)</f>
        <v/>
      </c>
      <c r="M17" t="str">
        <f>_xll.RssFOPMarket($E17,M$1)</f>
        <v/>
      </c>
      <c r="N17" t="str">
        <f>_xll.RssFOPMarket($E17,N$1)</f>
        <v/>
      </c>
      <c r="O17" t="str">
        <f>_xll.RssFOPMarket($E17,O$1)</f>
        <v/>
      </c>
      <c r="P17" t="str">
        <f>_xll.RssFOPMarket($E17,P$1)</f>
        <v/>
      </c>
      <c r="Q17" t="str">
        <f>_xll.RssFOPMarket($E17,Q$1)</f>
        <v/>
      </c>
    </row>
    <row r="18" spans="1:17" x14ac:dyDescent="0.4">
      <c r="A18" t="str">
        <f t="shared" si="0"/>
        <v>N225MOP</v>
      </c>
      <c r="B18" t="str">
        <f t="shared" si="0"/>
        <v>202310#3</v>
      </c>
      <c r="C18" t="str">
        <f t="shared" si="0"/>
        <v>P</v>
      </c>
      <c r="D18">
        <f t="shared" si="1"/>
        <v>34500</v>
      </c>
      <c r="E18" t="str">
        <f>_xll.RssFOPCode(A18,B18,IF(C18="C",1,IF(C18="P",2,"")),D18)</f>
        <v>マーケットスピード II にログインして「接続中」の状態に変更してから利用してください。</v>
      </c>
      <c r="F18" t="str">
        <f>_xll.RssFOPMarket($E18,F$1)</f>
        <v/>
      </c>
      <c r="G18" t="str">
        <f>_xll.RssFOPMarket($E18,G$1)</f>
        <v/>
      </c>
      <c r="H18" t="str">
        <f>_xll.RssFOPMarket($E18,H$1)</f>
        <v/>
      </c>
      <c r="I18" t="str">
        <f>_xll.RssFOPMarket($E18,I$1)</f>
        <v/>
      </c>
      <c r="J18" t="str">
        <f>_xll.RssFOPMarket($E18,J$1)</f>
        <v/>
      </c>
      <c r="K18" t="str">
        <f>_xll.RssFOPMarket($E18,K$1)</f>
        <v/>
      </c>
      <c r="L18" t="str">
        <f>_xll.RssFOPMarket($E18,L$1)</f>
        <v/>
      </c>
      <c r="M18" t="str">
        <f>_xll.RssFOPMarket($E18,M$1)</f>
        <v/>
      </c>
      <c r="N18" t="str">
        <f>_xll.RssFOPMarket($E18,N$1)</f>
        <v/>
      </c>
      <c r="O18" t="str">
        <f>_xll.RssFOPMarket($E18,O$1)</f>
        <v/>
      </c>
      <c r="P18" t="str">
        <f>_xll.RssFOPMarket($E18,P$1)</f>
        <v/>
      </c>
      <c r="Q18" t="str">
        <f>_xll.RssFOPMarket($E18,Q$1)</f>
        <v/>
      </c>
    </row>
    <row r="19" spans="1:17" x14ac:dyDescent="0.4">
      <c r="A19" t="str">
        <f t="shared" si="0"/>
        <v>N225MOP</v>
      </c>
      <c r="B19" t="str">
        <f t="shared" si="0"/>
        <v>202310#3</v>
      </c>
      <c r="C19" t="str">
        <f t="shared" si="0"/>
        <v>P</v>
      </c>
      <c r="D19">
        <f t="shared" si="1"/>
        <v>34375</v>
      </c>
      <c r="E19" t="str">
        <f>_xll.RssFOPCode(A19,B19,IF(C19="C",1,IF(C19="P",2,"")),D19)</f>
        <v>マーケットスピード II にログインして「接続中」の状態に変更してから利用してください。</v>
      </c>
      <c r="F19" t="str">
        <f>_xll.RssFOPMarket($E19,F$1)</f>
        <v/>
      </c>
      <c r="G19" t="str">
        <f>_xll.RssFOPMarket($E19,G$1)</f>
        <v/>
      </c>
      <c r="H19" t="str">
        <f>_xll.RssFOPMarket($E19,H$1)</f>
        <v/>
      </c>
      <c r="I19" t="str">
        <f>_xll.RssFOPMarket($E19,I$1)</f>
        <v/>
      </c>
      <c r="J19" t="str">
        <f>_xll.RssFOPMarket($E19,J$1)</f>
        <v/>
      </c>
      <c r="K19" t="str">
        <f>_xll.RssFOPMarket($E19,K$1)</f>
        <v/>
      </c>
      <c r="L19" t="str">
        <f>_xll.RssFOPMarket($E19,L$1)</f>
        <v/>
      </c>
      <c r="M19" t="str">
        <f>_xll.RssFOPMarket($E19,M$1)</f>
        <v/>
      </c>
      <c r="N19" t="str">
        <f>_xll.RssFOPMarket($E19,N$1)</f>
        <v/>
      </c>
      <c r="O19" t="str">
        <f>_xll.RssFOPMarket($E19,O$1)</f>
        <v/>
      </c>
      <c r="P19" t="str">
        <f>_xll.RssFOPMarket($E19,P$1)</f>
        <v/>
      </c>
      <c r="Q19" t="str">
        <f>_xll.RssFOPMarket($E19,Q$1)</f>
        <v/>
      </c>
    </row>
    <row r="20" spans="1:17" x14ac:dyDescent="0.4">
      <c r="A20" t="str">
        <f t="shared" si="0"/>
        <v>N225MOP</v>
      </c>
      <c r="B20" t="str">
        <f t="shared" si="0"/>
        <v>202310#3</v>
      </c>
      <c r="C20" t="str">
        <f t="shared" si="0"/>
        <v>P</v>
      </c>
      <c r="D20">
        <f t="shared" si="1"/>
        <v>34250</v>
      </c>
      <c r="E20" t="str">
        <f>_xll.RssFOPCode(A20,B20,IF(C20="C",1,IF(C20="P",2,"")),D20)</f>
        <v>マーケットスピード II にログインして「接続中」の状態に変更してから利用してください。</v>
      </c>
      <c r="F20" t="str">
        <f>_xll.RssFOPMarket($E20,F$1)</f>
        <v/>
      </c>
      <c r="G20" t="str">
        <f>_xll.RssFOPMarket($E20,G$1)</f>
        <v/>
      </c>
      <c r="H20" t="str">
        <f>_xll.RssFOPMarket($E20,H$1)</f>
        <v/>
      </c>
      <c r="I20" t="str">
        <f>_xll.RssFOPMarket($E20,I$1)</f>
        <v/>
      </c>
      <c r="J20" t="str">
        <f>_xll.RssFOPMarket($E20,J$1)</f>
        <v/>
      </c>
      <c r="K20" t="str">
        <f>_xll.RssFOPMarket($E20,K$1)</f>
        <v/>
      </c>
      <c r="L20" t="str">
        <f>_xll.RssFOPMarket($E20,L$1)</f>
        <v/>
      </c>
      <c r="M20" t="str">
        <f>_xll.RssFOPMarket($E20,M$1)</f>
        <v/>
      </c>
      <c r="N20" t="str">
        <f>_xll.RssFOPMarket($E20,N$1)</f>
        <v/>
      </c>
      <c r="O20" t="str">
        <f>_xll.RssFOPMarket($E20,O$1)</f>
        <v/>
      </c>
      <c r="P20" t="str">
        <f>_xll.RssFOPMarket($E20,P$1)</f>
        <v/>
      </c>
      <c r="Q20" t="str">
        <f>_xll.RssFOPMarket($E20,Q$1)</f>
        <v/>
      </c>
    </row>
    <row r="21" spans="1:17" x14ac:dyDescent="0.4">
      <c r="A21" t="str">
        <f t="shared" si="0"/>
        <v>N225MOP</v>
      </c>
      <c r="B21" t="str">
        <f t="shared" si="0"/>
        <v>202310#3</v>
      </c>
      <c r="C21" t="str">
        <f t="shared" si="0"/>
        <v>P</v>
      </c>
      <c r="D21">
        <f t="shared" si="1"/>
        <v>34125</v>
      </c>
      <c r="E21" t="str">
        <f>_xll.RssFOPCode(A21,B21,IF(C21="C",1,IF(C21="P",2,"")),D21)</f>
        <v>マーケットスピード II にログインして「接続中」の状態に変更してから利用してください。</v>
      </c>
      <c r="F21" t="str">
        <f>_xll.RssFOPMarket($E21,F$1)</f>
        <v/>
      </c>
      <c r="G21" t="str">
        <f>_xll.RssFOPMarket($E21,G$1)</f>
        <v/>
      </c>
      <c r="H21" t="str">
        <f>_xll.RssFOPMarket($E21,H$1)</f>
        <v/>
      </c>
      <c r="I21" t="str">
        <f>_xll.RssFOPMarket($E21,I$1)</f>
        <v/>
      </c>
      <c r="J21" t="str">
        <f>_xll.RssFOPMarket($E21,J$1)</f>
        <v/>
      </c>
      <c r="K21" t="str">
        <f>_xll.RssFOPMarket($E21,K$1)</f>
        <v/>
      </c>
      <c r="L21" t="str">
        <f>_xll.RssFOPMarket($E21,L$1)</f>
        <v/>
      </c>
      <c r="M21" t="str">
        <f>_xll.RssFOPMarket($E21,M$1)</f>
        <v/>
      </c>
      <c r="N21" t="str">
        <f>_xll.RssFOPMarket($E21,N$1)</f>
        <v/>
      </c>
      <c r="O21" t="str">
        <f>_xll.RssFOPMarket($E21,O$1)</f>
        <v/>
      </c>
      <c r="P21" t="str">
        <f>_xll.RssFOPMarket($E21,P$1)</f>
        <v/>
      </c>
      <c r="Q21" t="str">
        <f>_xll.RssFOPMarket($E21,Q$1)</f>
        <v/>
      </c>
    </row>
    <row r="22" spans="1:17" x14ac:dyDescent="0.4">
      <c r="A22" t="str">
        <f t="shared" si="0"/>
        <v>N225MOP</v>
      </c>
      <c r="B22" t="str">
        <f t="shared" si="0"/>
        <v>202310#3</v>
      </c>
      <c r="C22" t="str">
        <f t="shared" si="0"/>
        <v>P</v>
      </c>
      <c r="D22">
        <f t="shared" si="1"/>
        <v>34000</v>
      </c>
      <c r="E22" t="str">
        <f>_xll.RssFOPCode(A22,B22,IF(C22="C",1,IF(C22="P",2,"")),D22)</f>
        <v>マーケットスピード II にログインして「接続中」の状態に変更してから利用してください。</v>
      </c>
      <c r="F22" t="str">
        <f>_xll.RssFOPMarket($E22,F$1)</f>
        <v/>
      </c>
      <c r="G22" t="str">
        <f>_xll.RssFOPMarket($E22,G$1)</f>
        <v/>
      </c>
      <c r="H22" t="str">
        <f>_xll.RssFOPMarket($E22,H$1)</f>
        <v/>
      </c>
      <c r="I22" t="str">
        <f>_xll.RssFOPMarket($E22,I$1)</f>
        <v/>
      </c>
      <c r="J22" t="str">
        <f>_xll.RssFOPMarket($E22,J$1)</f>
        <v/>
      </c>
      <c r="K22" t="str">
        <f>_xll.RssFOPMarket($E22,K$1)</f>
        <v/>
      </c>
      <c r="L22" t="str">
        <f>_xll.RssFOPMarket($E22,L$1)</f>
        <v/>
      </c>
      <c r="M22" t="str">
        <f>_xll.RssFOPMarket($E22,M$1)</f>
        <v/>
      </c>
      <c r="N22" t="str">
        <f>_xll.RssFOPMarket($E22,N$1)</f>
        <v/>
      </c>
      <c r="O22" t="str">
        <f>_xll.RssFOPMarket($E22,O$1)</f>
        <v/>
      </c>
      <c r="P22" t="str">
        <f>_xll.RssFOPMarket($E22,P$1)</f>
        <v/>
      </c>
      <c r="Q22" t="str">
        <f>_xll.RssFOPMarket($E22,Q$1)</f>
        <v/>
      </c>
    </row>
    <row r="23" spans="1:17" x14ac:dyDescent="0.4">
      <c r="A23" t="str">
        <f t="shared" si="0"/>
        <v>N225MOP</v>
      </c>
      <c r="B23" t="str">
        <f t="shared" si="0"/>
        <v>202310#3</v>
      </c>
      <c r="C23" t="str">
        <f t="shared" si="0"/>
        <v>P</v>
      </c>
      <c r="D23">
        <f t="shared" si="1"/>
        <v>33875</v>
      </c>
      <c r="E23" t="str">
        <f>_xll.RssFOPCode(A23,B23,IF(C23="C",1,IF(C23="P",2,"")),D23)</f>
        <v>マーケットスピード II にログインして「接続中」の状態に変更してから利用してください。</v>
      </c>
      <c r="F23" t="str">
        <f>_xll.RssFOPMarket($E23,F$1)</f>
        <v/>
      </c>
      <c r="G23" t="str">
        <f>_xll.RssFOPMarket($E23,G$1)</f>
        <v/>
      </c>
      <c r="H23" t="str">
        <f>_xll.RssFOPMarket($E23,H$1)</f>
        <v/>
      </c>
      <c r="I23" t="str">
        <f>_xll.RssFOPMarket($E23,I$1)</f>
        <v/>
      </c>
      <c r="J23" t="str">
        <f>_xll.RssFOPMarket($E23,J$1)</f>
        <v/>
      </c>
      <c r="K23" t="str">
        <f>_xll.RssFOPMarket($E23,K$1)</f>
        <v/>
      </c>
      <c r="L23" t="str">
        <f>_xll.RssFOPMarket($E23,L$1)</f>
        <v/>
      </c>
      <c r="M23" t="str">
        <f>_xll.RssFOPMarket($E23,M$1)</f>
        <v/>
      </c>
      <c r="N23" t="str">
        <f>_xll.RssFOPMarket($E23,N$1)</f>
        <v/>
      </c>
      <c r="O23" t="str">
        <f>_xll.RssFOPMarket($E23,O$1)</f>
        <v/>
      </c>
      <c r="P23" t="str">
        <f>_xll.RssFOPMarket($E23,P$1)</f>
        <v/>
      </c>
      <c r="Q23" t="str">
        <f>_xll.RssFOPMarket($E23,Q$1)</f>
        <v/>
      </c>
    </row>
    <row r="24" spans="1:17" x14ac:dyDescent="0.4">
      <c r="A24" t="str">
        <f t="shared" si="0"/>
        <v>N225MOP</v>
      </c>
      <c r="B24" t="str">
        <f t="shared" si="0"/>
        <v>202310#3</v>
      </c>
      <c r="C24" t="str">
        <f t="shared" si="0"/>
        <v>P</v>
      </c>
      <c r="D24">
        <f t="shared" si="1"/>
        <v>33750</v>
      </c>
      <c r="E24" t="str">
        <f>_xll.RssFOPCode(A24,B24,IF(C24="C",1,IF(C24="P",2,"")),D24)</f>
        <v>マーケットスピード II にログインして「接続中」の状態に変更してから利用してください。</v>
      </c>
      <c r="F24" t="str">
        <f>_xll.RssFOPMarket($E24,F$1)</f>
        <v/>
      </c>
      <c r="G24" t="str">
        <f>_xll.RssFOPMarket($E24,G$1)</f>
        <v/>
      </c>
      <c r="H24" t="str">
        <f>_xll.RssFOPMarket($E24,H$1)</f>
        <v/>
      </c>
      <c r="I24" t="str">
        <f>_xll.RssFOPMarket($E24,I$1)</f>
        <v/>
      </c>
      <c r="J24" t="str">
        <f>_xll.RssFOPMarket($E24,J$1)</f>
        <v/>
      </c>
      <c r="K24" t="str">
        <f>_xll.RssFOPMarket($E24,K$1)</f>
        <v/>
      </c>
      <c r="L24" t="str">
        <f>_xll.RssFOPMarket($E24,L$1)</f>
        <v/>
      </c>
      <c r="M24" t="str">
        <f>_xll.RssFOPMarket($E24,M$1)</f>
        <v/>
      </c>
      <c r="N24" t="str">
        <f>_xll.RssFOPMarket($E24,N$1)</f>
        <v/>
      </c>
      <c r="O24" t="str">
        <f>_xll.RssFOPMarket($E24,O$1)</f>
        <v/>
      </c>
      <c r="P24" t="str">
        <f>_xll.RssFOPMarket($E24,P$1)</f>
        <v/>
      </c>
      <c r="Q24" t="str">
        <f>_xll.RssFOPMarket($E24,Q$1)</f>
        <v/>
      </c>
    </row>
    <row r="25" spans="1:17" x14ac:dyDescent="0.4">
      <c r="A25" t="str">
        <f t="shared" si="0"/>
        <v>N225MOP</v>
      </c>
      <c r="B25" t="str">
        <f t="shared" si="0"/>
        <v>202310#3</v>
      </c>
      <c r="C25" t="str">
        <f t="shared" si="0"/>
        <v>P</v>
      </c>
      <c r="D25">
        <f t="shared" si="1"/>
        <v>33625</v>
      </c>
      <c r="E25" t="str">
        <f>_xll.RssFOPCode(A25,B25,IF(C25="C",1,IF(C25="P",2,"")),D25)</f>
        <v>マーケットスピード II にログインして「接続中」の状態に変更してから利用してください。</v>
      </c>
      <c r="F25" t="str">
        <f>_xll.RssFOPMarket($E25,F$1)</f>
        <v/>
      </c>
      <c r="G25" t="str">
        <f>_xll.RssFOPMarket($E25,G$1)</f>
        <v/>
      </c>
      <c r="H25" t="str">
        <f>_xll.RssFOPMarket($E25,H$1)</f>
        <v/>
      </c>
      <c r="I25" t="str">
        <f>_xll.RssFOPMarket($E25,I$1)</f>
        <v/>
      </c>
      <c r="J25" t="str">
        <f>_xll.RssFOPMarket($E25,J$1)</f>
        <v/>
      </c>
      <c r="K25" t="str">
        <f>_xll.RssFOPMarket($E25,K$1)</f>
        <v/>
      </c>
      <c r="L25" t="str">
        <f>_xll.RssFOPMarket($E25,L$1)</f>
        <v/>
      </c>
      <c r="M25" t="str">
        <f>_xll.RssFOPMarket($E25,M$1)</f>
        <v/>
      </c>
      <c r="N25" t="str">
        <f>_xll.RssFOPMarket($E25,N$1)</f>
        <v/>
      </c>
      <c r="O25" t="str">
        <f>_xll.RssFOPMarket($E25,O$1)</f>
        <v/>
      </c>
      <c r="P25" t="str">
        <f>_xll.RssFOPMarket($E25,P$1)</f>
        <v/>
      </c>
      <c r="Q25" t="str">
        <f>_xll.RssFOPMarket($E25,Q$1)</f>
        <v/>
      </c>
    </row>
    <row r="26" spans="1:17" x14ac:dyDescent="0.4">
      <c r="A26" t="str">
        <f t="shared" si="0"/>
        <v>N225MOP</v>
      </c>
      <c r="B26" t="str">
        <f t="shared" si="0"/>
        <v>202310#3</v>
      </c>
      <c r="C26" t="str">
        <f t="shared" si="0"/>
        <v>P</v>
      </c>
      <c r="D26">
        <f t="shared" si="1"/>
        <v>33500</v>
      </c>
      <c r="E26" t="str">
        <f>_xll.RssFOPCode(A26,B26,IF(C26="C",1,IF(C26="P",2,"")),D26)</f>
        <v>マーケットスピード II にログインして「接続中」の状態に変更してから利用してください。</v>
      </c>
      <c r="F26" t="str">
        <f>_xll.RssFOPMarket($E26,F$1)</f>
        <v/>
      </c>
      <c r="G26" t="str">
        <f>_xll.RssFOPMarket($E26,G$1)</f>
        <v/>
      </c>
      <c r="H26" t="str">
        <f>_xll.RssFOPMarket($E26,H$1)</f>
        <v/>
      </c>
      <c r="I26" t="str">
        <f>_xll.RssFOPMarket($E26,I$1)</f>
        <v/>
      </c>
      <c r="J26" t="str">
        <f>_xll.RssFOPMarket($E26,J$1)</f>
        <v/>
      </c>
      <c r="K26" t="str">
        <f>_xll.RssFOPMarket($E26,K$1)</f>
        <v/>
      </c>
      <c r="L26" t="str">
        <f>_xll.RssFOPMarket($E26,L$1)</f>
        <v/>
      </c>
      <c r="M26" t="str">
        <f>_xll.RssFOPMarket($E26,M$1)</f>
        <v/>
      </c>
      <c r="N26" t="str">
        <f>_xll.RssFOPMarket($E26,N$1)</f>
        <v/>
      </c>
      <c r="O26" t="str">
        <f>_xll.RssFOPMarket($E26,O$1)</f>
        <v/>
      </c>
      <c r="P26" t="str">
        <f>_xll.RssFOPMarket($E26,P$1)</f>
        <v/>
      </c>
      <c r="Q26" t="str">
        <f>_xll.RssFOPMarket($E26,Q$1)</f>
        <v/>
      </c>
    </row>
    <row r="27" spans="1:17" x14ac:dyDescent="0.4">
      <c r="A27" t="str">
        <f t="shared" si="0"/>
        <v>N225MOP</v>
      </c>
      <c r="B27" t="str">
        <f t="shared" si="0"/>
        <v>202310#3</v>
      </c>
      <c r="C27" t="str">
        <f t="shared" si="0"/>
        <v>P</v>
      </c>
      <c r="D27">
        <f t="shared" si="1"/>
        <v>33375</v>
      </c>
      <c r="E27" t="str">
        <f>_xll.RssFOPCode(A27,B27,IF(C27="C",1,IF(C27="P",2,"")),D27)</f>
        <v>マーケットスピード II にログインして「接続中」の状態に変更してから利用してください。</v>
      </c>
      <c r="F27" t="str">
        <f>_xll.RssFOPMarket($E27,F$1)</f>
        <v/>
      </c>
      <c r="G27" t="str">
        <f>_xll.RssFOPMarket($E27,G$1)</f>
        <v/>
      </c>
      <c r="H27" t="str">
        <f>_xll.RssFOPMarket($E27,H$1)</f>
        <v/>
      </c>
      <c r="I27" t="str">
        <f>_xll.RssFOPMarket($E27,I$1)</f>
        <v/>
      </c>
      <c r="J27" t="str">
        <f>_xll.RssFOPMarket($E27,J$1)</f>
        <v/>
      </c>
      <c r="K27" t="str">
        <f>_xll.RssFOPMarket($E27,K$1)</f>
        <v/>
      </c>
      <c r="L27" t="str">
        <f>_xll.RssFOPMarket($E27,L$1)</f>
        <v/>
      </c>
      <c r="M27" t="str">
        <f>_xll.RssFOPMarket($E27,M$1)</f>
        <v/>
      </c>
      <c r="N27" t="str">
        <f>_xll.RssFOPMarket($E27,N$1)</f>
        <v/>
      </c>
      <c r="O27" t="str">
        <f>_xll.RssFOPMarket($E27,O$1)</f>
        <v/>
      </c>
      <c r="P27" t="str">
        <f>_xll.RssFOPMarket($E27,P$1)</f>
        <v/>
      </c>
      <c r="Q27" t="str">
        <f>_xll.RssFOPMarket($E27,Q$1)</f>
        <v/>
      </c>
    </row>
    <row r="28" spans="1:17" x14ac:dyDescent="0.4">
      <c r="A28" t="str">
        <f t="shared" si="0"/>
        <v>N225MOP</v>
      </c>
      <c r="B28" t="str">
        <f t="shared" si="0"/>
        <v>202310#3</v>
      </c>
      <c r="C28" t="str">
        <f t="shared" si="0"/>
        <v>P</v>
      </c>
      <c r="D28">
        <f t="shared" si="1"/>
        <v>33250</v>
      </c>
      <c r="E28" t="str">
        <f>_xll.RssFOPCode(A28,B28,IF(C28="C",1,IF(C28="P",2,"")),D28)</f>
        <v>マーケットスピード II にログインして「接続中」の状態に変更してから利用してください。</v>
      </c>
      <c r="F28" t="str">
        <f>_xll.RssFOPMarket($E28,F$1)</f>
        <v/>
      </c>
      <c r="G28" t="str">
        <f>_xll.RssFOPMarket($E28,G$1)</f>
        <v/>
      </c>
      <c r="H28" t="str">
        <f>_xll.RssFOPMarket($E28,H$1)</f>
        <v/>
      </c>
      <c r="I28" t="str">
        <f>_xll.RssFOPMarket($E28,I$1)</f>
        <v/>
      </c>
      <c r="J28" t="str">
        <f>_xll.RssFOPMarket($E28,J$1)</f>
        <v/>
      </c>
      <c r="K28" t="str">
        <f>_xll.RssFOPMarket($E28,K$1)</f>
        <v/>
      </c>
      <c r="L28" t="str">
        <f>_xll.RssFOPMarket($E28,L$1)</f>
        <v/>
      </c>
      <c r="M28" t="str">
        <f>_xll.RssFOPMarket($E28,M$1)</f>
        <v/>
      </c>
      <c r="N28" t="str">
        <f>_xll.RssFOPMarket($E28,N$1)</f>
        <v/>
      </c>
      <c r="O28" t="str">
        <f>_xll.RssFOPMarket($E28,O$1)</f>
        <v/>
      </c>
      <c r="P28" t="str">
        <f>_xll.RssFOPMarket($E28,P$1)</f>
        <v/>
      </c>
      <c r="Q28" t="str">
        <f>_xll.RssFOPMarket($E28,Q$1)</f>
        <v/>
      </c>
    </row>
    <row r="29" spans="1:17" x14ac:dyDescent="0.4">
      <c r="A29" t="str">
        <f t="shared" si="0"/>
        <v>N225MOP</v>
      </c>
      <c r="B29" t="str">
        <f t="shared" si="0"/>
        <v>202310#3</v>
      </c>
      <c r="C29" t="str">
        <f t="shared" si="0"/>
        <v>P</v>
      </c>
      <c r="D29">
        <f t="shared" si="1"/>
        <v>33125</v>
      </c>
      <c r="E29" t="str">
        <f>_xll.RssFOPCode(A29,B29,IF(C29="C",1,IF(C29="P",2,"")),D29)</f>
        <v>マーケットスピード II にログインして「接続中」の状態に変更してから利用してください。</v>
      </c>
      <c r="F29" t="str">
        <f>_xll.RssFOPMarket($E29,F$1)</f>
        <v/>
      </c>
      <c r="G29" t="str">
        <f>_xll.RssFOPMarket($E29,G$1)</f>
        <v/>
      </c>
      <c r="H29" t="str">
        <f>_xll.RssFOPMarket($E29,H$1)</f>
        <v/>
      </c>
      <c r="I29" t="str">
        <f>_xll.RssFOPMarket($E29,I$1)</f>
        <v/>
      </c>
      <c r="J29" t="str">
        <f>_xll.RssFOPMarket($E29,J$1)</f>
        <v/>
      </c>
      <c r="K29" t="str">
        <f>_xll.RssFOPMarket($E29,K$1)</f>
        <v/>
      </c>
      <c r="L29" t="str">
        <f>_xll.RssFOPMarket($E29,L$1)</f>
        <v/>
      </c>
      <c r="M29" t="str">
        <f>_xll.RssFOPMarket($E29,M$1)</f>
        <v/>
      </c>
      <c r="N29" t="str">
        <f>_xll.RssFOPMarket($E29,N$1)</f>
        <v/>
      </c>
      <c r="O29" t="str">
        <f>_xll.RssFOPMarket($E29,O$1)</f>
        <v/>
      </c>
      <c r="P29" t="str">
        <f>_xll.RssFOPMarket($E29,P$1)</f>
        <v/>
      </c>
      <c r="Q29" t="str">
        <f>_xll.RssFOPMarket($E29,Q$1)</f>
        <v/>
      </c>
    </row>
    <row r="30" spans="1:17" x14ac:dyDescent="0.4">
      <c r="A30" t="str">
        <f t="shared" si="0"/>
        <v>N225MOP</v>
      </c>
      <c r="B30" t="str">
        <f t="shared" si="0"/>
        <v>202310#3</v>
      </c>
      <c r="C30" t="str">
        <f t="shared" si="0"/>
        <v>P</v>
      </c>
      <c r="D30">
        <f t="shared" si="1"/>
        <v>33000</v>
      </c>
      <c r="E30" t="str">
        <f>_xll.RssFOPCode(A30,B30,IF(C30="C",1,IF(C30="P",2,"")),D30)</f>
        <v>マーケットスピード II にログインして「接続中」の状態に変更してから利用してください。</v>
      </c>
      <c r="F30" t="str">
        <f>_xll.RssFOPMarket($E30,F$1)</f>
        <v/>
      </c>
      <c r="G30" t="str">
        <f>_xll.RssFOPMarket($E30,G$1)</f>
        <v/>
      </c>
      <c r="H30" t="str">
        <f>_xll.RssFOPMarket($E30,H$1)</f>
        <v/>
      </c>
      <c r="I30" t="str">
        <f>_xll.RssFOPMarket($E30,I$1)</f>
        <v/>
      </c>
      <c r="J30" t="str">
        <f>_xll.RssFOPMarket($E30,J$1)</f>
        <v/>
      </c>
      <c r="K30" t="str">
        <f>_xll.RssFOPMarket($E30,K$1)</f>
        <v/>
      </c>
      <c r="L30" t="str">
        <f>_xll.RssFOPMarket($E30,L$1)</f>
        <v/>
      </c>
      <c r="M30" t="str">
        <f>_xll.RssFOPMarket($E30,M$1)</f>
        <v/>
      </c>
      <c r="N30" t="str">
        <f>_xll.RssFOPMarket($E30,N$1)</f>
        <v/>
      </c>
      <c r="O30" t="str">
        <f>_xll.RssFOPMarket($E30,O$1)</f>
        <v/>
      </c>
      <c r="P30" t="str">
        <f>_xll.RssFOPMarket($E30,P$1)</f>
        <v/>
      </c>
      <c r="Q30" t="str">
        <f>_xll.RssFOPMarket($E30,Q$1)</f>
        <v/>
      </c>
    </row>
    <row r="31" spans="1:17" x14ac:dyDescent="0.4">
      <c r="A31" t="str">
        <f t="shared" si="0"/>
        <v>N225MOP</v>
      </c>
      <c r="B31" t="str">
        <f t="shared" si="0"/>
        <v>202310#3</v>
      </c>
      <c r="C31" t="str">
        <f t="shared" si="0"/>
        <v>P</v>
      </c>
      <c r="D31">
        <f t="shared" si="1"/>
        <v>32875</v>
      </c>
      <c r="E31" t="str">
        <f>_xll.RssFOPCode(A31,B31,IF(C31="C",1,IF(C31="P",2,"")),D31)</f>
        <v>マーケットスピード II にログインして「接続中」の状態に変更してから利用してください。</v>
      </c>
      <c r="F31" t="str">
        <f>_xll.RssFOPMarket($E31,F$1)</f>
        <v/>
      </c>
      <c r="G31" t="str">
        <f>_xll.RssFOPMarket($E31,G$1)</f>
        <v/>
      </c>
      <c r="H31" t="str">
        <f>_xll.RssFOPMarket($E31,H$1)</f>
        <v/>
      </c>
      <c r="I31" t="str">
        <f>_xll.RssFOPMarket($E31,I$1)</f>
        <v/>
      </c>
      <c r="J31" t="str">
        <f>_xll.RssFOPMarket($E31,J$1)</f>
        <v/>
      </c>
      <c r="K31" t="str">
        <f>_xll.RssFOPMarket($E31,K$1)</f>
        <v/>
      </c>
      <c r="L31" t="str">
        <f>_xll.RssFOPMarket($E31,L$1)</f>
        <v/>
      </c>
      <c r="M31" t="str">
        <f>_xll.RssFOPMarket($E31,M$1)</f>
        <v/>
      </c>
      <c r="N31" t="str">
        <f>_xll.RssFOPMarket($E31,N$1)</f>
        <v/>
      </c>
      <c r="O31" t="str">
        <f>_xll.RssFOPMarket($E31,O$1)</f>
        <v/>
      </c>
      <c r="P31" t="str">
        <f>_xll.RssFOPMarket($E31,P$1)</f>
        <v/>
      </c>
      <c r="Q31" t="str">
        <f>_xll.RssFOPMarket($E31,Q$1)</f>
        <v/>
      </c>
    </row>
    <row r="32" spans="1:17" x14ac:dyDescent="0.4">
      <c r="A32" t="str">
        <f t="shared" si="0"/>
        <v>N225MOP</v>
      </c>
      <c r="B32" t="str">
        <f t="shared" si="0"/>
        <v>202310#3</v>
      </c>
      <c r="C32" t="str">
        <f t="shared" si="0"/>
        <v>P</v>
      </c>
      <c r="D32">
        <f t="shared" si="1"/>
        <v>32750</v>
      </c>
      <c r="E32" t="str">
        <f>_xll.RssFOPCode(A32,B32,IF(C32="C",1,IF(C32="P",2,"")),D32)</f>
        <v>マーケットスピード II にログインして「接続中」の状態に変更してから利用してください。</v>
      </c>
      <c r="F32" t="str">
        <f>_xll.RssFOPMarket($E32,F$1)</f>
        <v/>
      </c>
      <c r="G32" t="str">
        <f>_xll.RssFOPMarket($E32,G$1)</f>
        <v/>
      </c>
      <c r="H32" t="str">
        <f>_xll.RssFOPMarket($E32,H$1)</f>
        <v/>
      </c>
      <c r="I32" t="str">
        <f>_xll.RssFOPMarket($E32,I$1)</f>
        <v/>
      </c>
      <c r="J32" t="str">
        <f>_xll.RssFOPMarket($E32,J$1)</f>
        <v/>
      </c>
      <c r="K32" t="str">
        <f>_xll.RssFOPMarket($E32,K$1)</f>
        <v/>
      </c>
      <c r="L32" t="str">
        <f>_xll.RssFOPMarket($E32,L$1)</f>
        <v/>
      </c>
      <c r="M32" t="str">
        <f>_xll.RssFOPMarket($E32,M$1)</f>
        <v/>
      </c>
      <c r="N32" t="str">
        <f>_xll.RssFOPMarket($E32,N$1)</f>
        <v/>
      </c>
      <c r="O32" t="str">
        <f>_xll.RssFOPMarket($E32,O$1)</f>
        <v/>
      </c>
      <c r="P32" t="str">
        <f>_xll.RssFOPMarket($E32,P$1)</f>
        <v/>
      </c>
      <c r="Q32" t="str">
        <f>_xll.RssFOPMarket($E32,Q$1)</f>
        <v/>
      </c>
    </row>
    <row r="33" spans="1:17" x14ac:dyDescent="0.4">
      <c r="A33" t="str">
        <f t="shared" si="0"/>
        <v>N225MOP</v>
      </c>
      <c r="B33" t="str">
        <f t="shared" si="0"/>
        <v>202310#3</v>
      </c>
      <c r="C33" t="str">
        <f t="shared" si="0"/>
        <v>P</v>
      </c>
      <c r="D33">
        <f t="shared" si="1"/>
        <v>32625</v>
      </c>
      <c r="E33" t="str">
        <f>_xll.RssFOPCode(A33,B33,IF(C33="C",1,IF(C33="P",2,"")),D33)</f>
        <v>マーケットスピード II にログインして「接続中」の状態に変更してから利用してください。</v>
      </c>
      <c r="F33" t="str">
        <f>_xll.RssFOPMarket($E33,F$1)</f>
        <v/>
      </c>
      <c r="G33" t="str">
        <f>_xll.RssFOPMarket($E33,G$1)</f>
        <v/>
      </c>
      <c r="H33" t="str">
        <f>_xll.RssFOPMarket($E33,H$1)</f>
        <v/>
      </c>
      <c r="I33" t="str">
        <f>_xll.RssFOPMarket($E33,I$1)</f>
        <v/>
      </c>
      <c r="J33" t="str">
        <f>_xll.RssFOPMarket($E33,J$1)</f>
        <v/>
      </c>
      <c r="K33" t="str">
        <f>_xll.RssFOPMarket($E33,K$1)</f>
        <v/>
      </c>
      <c r="L33" t="str">
        <f>_xll.RssFOPMarket($E33,L$1)</f>
        <v/>
      </c>
      <c r="M33" t="str">
        <f>_xll.RssFOPMarket($E33,M$1)</f>
        <v/>
      </c>
      <c r="N33" t="str">
        <f>_xll.RssFOPMarket($E33,N$1)</f>
        <v/>
      </c>
      <c r="O33" t="str">
        <f>_xll.RssFOPMarket($E33,O$1)</f>
        <v/>
      </c>
      <c r="P33" t="str">
        <f>_xll.RssFOPMarket($E33,P$1)</f>
        <v/>
      </c>
      <c r="Q33" t="str">
        <f>_xll.RssFOPMarket($E33,Q$1)</f>
        <v/>
      </c>
    </row>
    <row r="34" spans="1:17" x14ac:dyDescent="0.4">
      <c r="A34" t="str">
        <f t="shared" si="0"/>
        <v>N225MOP</v>
      </c>
      <c r="B34" t="str">
        <f t="shared" si="0"/>
        <v>202310#3</v>
      </c>
      <c r="C34" t="str">
        <f t="shared" si="0"/>
        <v>P</v>
      </c>
      <c r="D34">
        <f t="shared" si="1"/>
        <v>32500</v>
      </c>
      <c r="E34" t="str">
        <f>_xll.RssFOPCode(A34,B34,IF(C34="C",1,IF(C34="P",2,"")),D34)</f>
        <v>マーケットスピード II にログインして「接続中」の状態に変更してから利用してください。</v>
      </c>
      <c r="F34" t="str">
        <f>_xll.RssFOPMarket($E34,F$1)</f>
        <v/>
      </c>
      <c r="G34" t="str">
        <f>_xll.RssFOPMarket($E34,G$1)</f>
        <v/>
      </c>
      <c r="H34" t="str">
        <f>_xll.RssFOPMarket($E34,H$1)</f>
        <v/>
      </c>
      <c r="I34" t="str">
        <f>_xll.RssFOPMarket($E34,I$1)</f>
        <v/>
      </c>
      <c r="J34" t="str">
        <f>_xll.RssFOPMarket($E34,J$1)</f>
        <v/>
      </c>
      <c r="K34" t="str">
        <f>_xll.RssFOPMarket($E34,K$1)</f>
        <v/>
      </c>
      <c r="L34" t="str">
        <f>_xll.RssFOPMarket($E34,L$1)</f>
        <v/>
      </c>
      <c r="M34" t="str">
        <f>_xll.RssFOPMarket($E34,M$1)</f>
        <v/>
      </c>
      <c r="N34" t="str">
        <f>_xll.RssFOPMarket($E34,N$1)</f>
        <v/>
      </c>
      <c r="O34" t="str">
        <f>_xll.RssFOPMarket($E34,O$1)</f>
        <v/>
      </c>
      <c r="P34" t="str">
        <f>_xll.RssFOPMarket($E34,P$1)</f>
        <v/>
      </c>
      <c r="Q34" t="str">
        <f>_xll.RssFOPMarket($E34,Q$1)</f>
        <v/>
      </c>
    </row>
    <row r="35" spans="1:17" x14ac:dyDescent="0.4">
      <c r="A35" t="str">
        <f t="shared" si="0"/>
        <v>N225MOP</v>
      </c>
      <c r="B35" t="str">
        <f t="shared" si="0"/>
        <v>202310#3</v>
      </c>
      <c r="C35" t="str">
        <f t="shared" si="0"/>
        <v>P</v>
      </c>
      <c r="D35">
        <f t="shared" si="1"/>
        <v>32375</v>
      </c>
      <c r="E35" t="str">
        <f>_xll.RssFOPCode(A35,B35,IF(C35="C",1,IF(C35="P",2,"")),D35)</f>
        <v>マーケットスピード II にログインして「接続中」の状態に変更してから利用してください。</v>
      </c>
      <c r="F35" t="str">
        <f>_xll.RssFOPMarket($E35,F$1)</f>
        <v/>
      </c>
      <c r="G35" t="str">
        <f>_xll.RssFOPMarket($E35,G$1)</f>
        <v/>
      </c>
      <c r="H35" t="str">
        <f>_xll.RssFOPMarket($E35,H$1)</f>
        <v/>
      </c>
      <c r="I35" t="str">
        <f>_xll.RssFOPMarket($E35,I$1)</f>
        <v/>
      </c>
      <c r="J35" t="str">
        <f>_xll.RssFOPMarket($E35,J$1)</f>
        <v/>
      </c>
      <c r="K35" t="str">
        <f>_xll.RssFOPMarket($E35,K$1)</f>
        <v/>
      </c>
      <c r="L35" t="str">
        <f>_xll.RssFOPMarket($E35,L$1)</f>
        <v/>
      </c>
      <c r="M35" t="str">
        <f>_xll.RssFOPMarket($E35,M$1)</f>
        <v/>
      </c>
      <c r="N35" t="str">
        <f>_xll.RssFOPMarket($E35,N$1)</f>
        <v/>
      </c>
      <c r="O35" t="str">
        <f>_xll.RssFOPMarket($E35,O$1)</f>
        <v/>
      </c>
      <c r="P35" t="str">
        <f>_xll.RssFOPMarket($E35,P$1)</f>
        <v/>
      </c>
      <c r="Q35" t="str">
        <f>_xll.RssFOPMarket($E35,Q$1)</f>
        <v/>
      </c>
    </row>
    <row r="36" spans="1:17" x14ac:dyDescent="0.4">
      <c r="A36" t="str">
        <f t="shared" si="0"/>
        <v>N225MOP</v>
      </c>
      <c r="B36" t="str">
        <f t="shared" si="0"/>
        <v>202310#3</v>
      </c>
      <c r="C36" t="str">
        <f t="shared" si="0"/>
        <v>P</v>
      </c>
      <c r="D36">
        <f t="shared" si="1"/>
        <v>32250</v>
      </c>
      <c r="E36" t="str">
        <f>_xll.RssFOPCode(A36,B36,IF(C36="C",1,IF(C36="P",2,"")),D36)</f>
        <v>マーケットスピード II にログインして「接続中」の状態に変更してから利用してください。</v>
      </c>
      <c r="F36" t="str">
        <f>_xll.RssFOPMarket($E36,F$1)</f>
        <v/>
      </c>
      <c r="G36" t="str">
        <f>_xll.RssFOPMarket($E36,G$1)</f>
        <v/>
      </c>
      <c r="H36" t="str">
        <f>_xll.RssFOPMarket($E36,H$1)</f>
        <v/>
      </c>
      <c r="I36" t="str">
        <f>_xll.RssFOPMarket($E36,I$1)</f>
        <v/>
      </c>
      <c r="J36" t="str">
        <f>_xll.RssFOPMarket($E36,J$1)</f>
        <v/>
      </c>
      <c r="K36" t="str">
        <f>_xll.RssFOPMarket($E36,K$1)</f>
        <v/>
      </c>
      <c r="L36" t="str">
        <f>_xll.RssFOPMarket($E36,L$1)</f>
        <v/>
      </c>
      <c r="M36" t="str">
        <f>_xll.RssFOPMarket($E36,M$1)</f>
        <v/>
      </c>
      <c r="N36" t="str">
        <f>_xll.RssFOPMarket($E36,N$1)</f>
        <v/>
      </c>
      <c r="O36" t="str">
        <f>_xll.RssFOPMarket($E36,O$1)</f>
        <v/>
      </c>
      <c r="P36" t="str">
        <f>_xll.RssFOPMarket($E36,P$1)</f>
        <v/>
      </c>
      <c r="Q36" t="str">
        <f>_xll.RssFOPMarket($E36,Q$1)</f>
        <v/>
      </c>
    </row>
    <row r="37" spans="1:17" x14ac:dyDescent="0.4">
      <c r="A37" t="str">
        <f t="shared" si="0"/>
        <v>N225MOP</v>
      </c>
      <c r="B37" t="str">
        <f t="shared" si="0"/>
        <v>202310#3</v>
      </c>
      <c r="C37" t="str">
        <f t="shared" si="0"/>
        <v>P</v>
      </c>
      <c r="D37">
        <f t="shared" si="1"/>
        <v>32125</v>
      </c>
      <c r="E37" t="str">
        <f>_xll.RssFOPCode(A37,B37,IF(C37="C",1,IF(C37="P",2,"")),D37)</f>
        <v>マーケットスピード II にログインして「接続中」の状態に変更してから利用してください。</v>
      </c>
      <c r="F37" t="str">
        <f>_xll.RssFOPMarket($E37,F$1)</f>
        <v/>
      </c>
      <c r="G37" t="str">
        <f>_xll.RssFOPMarket($E37,G$1)</f>
        <v/>
      </c>
      <c r="H37" t="str">
        <f>_xll.RssFOPMarket($E37,H$1)</f>
        <v/>
      </c>
      <c r="I37" t="str">
        <f>_xll.RssFOPMarket($E37,I$1)</f>
        <v/>
      </c>
      <c r="J37" t="str">
        <f>_xll.RssFOPMarket($E37,J$1)</f>
        <v/>
      </c>
      <c r="K37" t="str">
        <f>_xll.RssFOPMarket($E37,K$1)</f>
        <v/>
      </c>
      <c r="L37" t="str">
        <f>_xll.RssFOPMarket($E37,L$1)</f>
        <v/>
      </c>
      <c r="M37" t="str">
        <f>_xll.RssFOPMarket($E37,M$1)</f>
        <v/>
      </c>
      <c r="N37" t="str">
        <f>_xll.RssFOPMarket($E37,N$1)</f>
        <v/>
      </c>
      <c r="O37" t="str">
        <f>_xll.RssFOPMarket($E37,O$1)</f>
        <v/>
      </c>
      <c r="P37" t="str">
        <f>_xll.RssFOPMarket($E37,P$1)</f>
        <v/>
      </c>
      <c r="Q37" t="str">
        <f>_xll.RssFOPMarket($E37,Q$1)</f>
        <v/>
      </c>
    </row>
    <row r="38" spans="1:17" x14ac:dyDescent="0.4">
      <c r="A38" t="str">
        <f t="shared" si="0"/>
        <v>N225MOP</v>
      </c>
      <c r="B38" t="str">
        <f t="shared" si="0"/>
        <v>202310#3</v>
      </c>
      <c r="C38" t="s">
        <v>15</v>
      </c>
      <c r="D38">
        <f t="shared" si="1"/>
        <v>32000</v>
      </c>
      <c r="E38" t="str">
        <f>_xll.RssFOPCode(A38,B38,IF(C38="C",1,IF(C38="P",2,"")),D38)</f>
        <v>マーケットスピード II にログインして「接続中」の状態に変更してから利用してください。</v>
      </c>
      <c r="F38" t="str">
        <f>_xll.RssFOPMarket($E38,F$1)</f>
        <v/>
      </c>
      <c r="G38" t="str">
        <f>_xll.RssFOPMarket($E38,G$1)</f>
        <v/>
      </c>
      <c r="H38" t="str">
        <f>_xll.RssFOPMarket($E38,H$1)</f>
        <v/>
      </c>
      <c r="I38" t="str">
        <f>_xll.RssFOPMarket($E38,I$1)</f>
        <v/>
      </c>
      <c r="J38" t="str">
        <f>_xll.RssFOPMarket($E38,J$1)</f>
        <v/>
      </c>
      <c r="K38" t="str">
        <f>_xll.RssFOPMarket($E38,K$1)</f>
        <v/>
      </c>
      <c r="L38" t="str">
        <f>_xll.RssFOPMarket($E38,L$1)</f>
        <v/>
      </c>
      <c r="M38" t="str">
        <f>_xll.RssFOPMarket($E38,M$1)</f>
        <v/>
      </c>
      <c r="N38" t="str">
        <f>_xll.RssFOPMarket($E38,N$1)</f>
        <v/>
      </c>
      <c r="O38" t="str">
        <f>_xll.RssFOPMarket($E38,O$1)</f>
        <v/>
      </c>
      <c r="P38" t="str">
        <f>_xll.RssFOPMarket($E38,P$1)</f>
        <v/>
      </c>
      <c r="Q38" t="str">
        <f>_xll.RssFOPMarket($E38,Q$1)</f>
        <v/>
      </c>
    </row>
    <row r="39" spans="1:17" x14ac:dyDescent="0.4">
      <c r="A39" t="str">
        <f t="shared" si="0"/>
        <v>N225MOP</v>
      </c>
      <c r="B39" t="str">
        <f t="shared" si="0"/>
        <v>202310#3</v>
      </c>
      <c r="C39" t="str">
        <f t="shared" si="0"/>
        <v>C</v>
      </c>
      <c r="D39">
        <f t="shared" si="1"/>
        <v>31875</v>
      </c>
      <c r="E39" t="str">
        <f>_xll.RssFOPCode(A39,B39,IF(C39="C",1,IF(C39="P",2,"")),D39)</f>
        <v>マーケットスピード II にログインして「接続中」の状態に変更してから利用してください。</v>
      </c>
      <c r="F39" t="str">
        <f>_xll.RssFOPMarket($E39,F$1)</f>
        <v/>
      </c>
      <c r="G39" t="str">
        <f>_xll.RssFOPMarket($E39,G$1)</f>
        <v/>
      </c>
      <c r="H39" t="str">
        <f>_xll.RssFOPMarket($E39,H$1)</f>
        <v/>
      </c>
      <c r="I39" t="str">
        <f>_xll.RssFOPMarket($E39,I$1)</f>
        <v/>
      </c>
      <c r="J39" t="str">
        <f>_xll.RssFOPMarket($E39,J$1)</f>
        <v/>
      </c>
      <c r="K39" t="str">
        <f>_xll.RssFOPMarket($E39,K$1)</f>
        <v/>
      </c>
      <c r="L39" t="str">
        <f>_xll.RssFOPMarket($E39,L$1)</f>
        <v/>
      </c>
      <c r="M39" t="str">
        <f>_xll.RssFOPMarket($E39,M$1)</f>
        <v/>
      </c>
      <c r="N39" t="str">
        <f>_xll.RssFOPMarket($E39,N$1)</f>
        <v/>
      </c>
      <c r="O39" t="str">
        <f>_xll.RssFOPMarket($E39,O$1)</f>
        <v/>
      </c>
      <c r="P39" t="str">
        <f>_xll.RssFOPMarket($E39,P$1)</f>
        <v/>
      </c>
      <c r="Q39" t="str">
        <f>_xll.RssFOPMarket($E39,Q$1)</f>
        <v/>
      </c>
    </row>
    <row r="40" spans="1:17" x14ac:dyDescent="0.4">
      <c r="A40" t="str">
        <f t="shared" si="0"/>
        <v>N225MOP</v>
      </c>
      <c r="B40" t="str">
        <f t="shared" si="0"/>
        <v>202310#3</v>
      </c>
      <c r="C40" t="str">
        <f t="shared" si="0"/>
        <v>C</v>
      </c>
      <c r="D40">
        <f t="shared" si="1"/>
        <v>31750</v>
      </c>
      <c r="E40" t="str">
        <f>_xll.RssFOPCode(A40,B40,IF(C40="C",1,IF(C40="P",2,"")),D40)</f>
        <v>マーケットスピード II にログインして「接続中」の状態に変更してから利用してください。</v>
      </c>
      <c r="F40" t="str">
        <f>_xll.RssFOPMarket($E40,F$1)</f>
        <v/>
      </c>
      <c r="G40" t="str">
        <f>_xll.RssFOPMarket($E40,G$1)</f>
        <v/>
      </c>
      <c r="H40" t="str">
        <f>_xll.RssFOPMarket($E40,H$1)</f>
        <v/>
      </c>
      <c r="I40" t="str">
        <f>_xll.RssFOPMarket($E40,I$1)</f>
        <v/>
      </c>
      <c r="J40" t="str">
        <f>_xll.RssFOPMarket($E40,J$1)</f>
        <v/>
      </c>
      <c r="K40" t="str">
        <f>_xll.RssFOPMarket($E40,K$1)</f>
        <v/>
      </c>
      <c r="L40" t="str">
        <f>_xll.RssFOPMarket($E40,L$1)</f>
        <v/>
      </c>
      <c r="M40" t="str">
        <f>_xll.RssFOPMarket($E40,M$1)</f>
        <v/>
      </c>
      <c r="N40" t="str">
        <f>_xll.RssFOPMarket($E40,N$1)</f>
        <v/>
      </c>
      <c r="O40" t="str">
        <f>_xll.RssFOPMarket($E40,O$1)</f>
        <v/>
      </c>
      <c r="P40" t="str">
        <f>_xll.RssFOPMarket($E40,P$1)</f>
        <v/>
      </c>
      <c r="Q40" t="str">
        <f>_xll.RssFOPMarket($E40,Q$1)</f>
        <v/>
      </c>
    </row>
    <row r="41" spans="1:17" x14ac:dyDescent="0.4">
      <c r="A41" t="str">
        <f t="shared" si="0"/>
        <v>N225MOP</v>
      </c>
      <c r="B41" t="str">
        <f t="shared" si="0"/>
        <v>202310#3</v>
      </c>
      <c r="C41" t="str">
        <f t="shared" si="0"/>
        <v>C</v>
      </c>
      <c r="D41">
        <f t="shared" si="1"/>
        <v>31625</v>
      </c>
      <c r="E41" t="str">
        <f>_xll.RssFOPCode(A41,B41,IF(C41="C",1,IF(C41="P",2,"")),D41)</f>
        <v>マーケットスピード II にログインして「接続中」の状態に変更してから利用してください。</v>
      </c>
      <c r="F41" t="str">
        <f>_xll.RssFOPMarket($E41,F$1)</f>
        <v/>
      </c>
      <c r="G41" t="str">
        <f>_xll.RssFOPMarket($E41,G$1)</f>
        <v/>
      </c>
      <c r="H41" t="str">
        <f>_xll.RssFOPMarket($E41,H$1)</f>
        <v/>
      </c>
      <c r="I41" t="str">
        <f>_xll.RssFOPMarket($E41,I$1)</f>
        <v/>
      </c>
      <c r="J41" t="str">
        <f>_xll.RssFOPMarket($E41,J$1)</f>
        <v/>
      </c>
      <c r="K41" t="str">
        <f>_xll.RssFOPMarket($E41,K$1)</f>
        <v/>
      </c>
      <c r="L41" t="str">
        <f>_xll.RssFOPMarket($E41,L$1)</f>
        <v/>
      </c>
      <c r="M41" t="str">
        <f>_xll.RssFOPMarket($E41,M$1)</f>
        <v/>
      </c>
      <c r="N41" t="str">
        <f>_xll.RssFOPMarket($E41,N$1)</f>
        <v/>
      </c>
      <c r="O41" t="str">
        <f>_xll.RssFOPMarket($E41,O$1)</f>
        <v/>
      </c>
      <c r="P41" t="str">
        <f>_xll.RssFOPMarket($E41,P$1)</f>
        <v/>
      </c>
      <c r="Q41" t="str">
        <f>_xll.RssFOPMarket($E41,Q$1)</f>
        <v/>
      </c>
    </row>
    <row r="42" spans="1:17" x14ac:dyDescent="0.4">
      <c r="A42" t="str">
        <f t="shared" si="0"/>
        <v>N225MOP</v>
      </c>
      <c r="B42" t="str">
        <f t="shared" si="0"/>
        <v>202310#3</v>
      </c>
      <c r="C42" t="str">
        <f t="shared" si="0"/>
        <v>C</v>
      </c>
      <c r="D42">
        <f t="shared" si="1"/>
        <v>31500</v>
      </c>
      <c r="E42" t="str">
        <f>_xll.RssFOPCode(A42,B42,IF(C42="C",1,IF(C42="P",2,"")),D42)</f>
        <v>マーケットスピード II にログインして「接続中」の状態に変更してから利用してください。</v>
      </c>
      <c r="F42" t="str">
        <f>_xll.RssFOPMarket($E42,F$1)</f>
        <v/>
      </c>
      <c r="G42" t="str">
        <f>_xll.RssFOPMarket($E42,G$1)</f>
        <v/>
      </c>
      <c r="H42" t="str">
        <f>_xll.RssFOPMarket($E42,H$1)</f>
        <v/>
      </c>
      <c r="I42" t="str">
        <f>_xll.RssFOPMarket($E42,I$1)</f>
        <v/>
      </c>
      <c r="J42" t="str">
        <f>_xll.RssFOPMarket($E42,J$1)</f>
        <v/>
      </c>
      <c r="K42" t="str">
        <f>_xll.RssFOPMarket($E42,K$1)</f>
        <v/>
      </c>
      <c r="L42" t="str">
        <f>_xll.RssFOPMarket($E42,L$1)</f>
        <v/>
      </c>
      <c r="M42" t="str">
        <f>_xll.RssFOPMarket($E42,M$1)</f>
        <v/>
      </c>
      <c r="N42" t="str">
        <f>_xll.RssFOPMarket($E42,N$1)</f>
        <v/>
      </c>
      <c r="O42" t="str">
        <f>_xll.RssFOPMarket($E42,O$1)</f>
        <v/>
      </c>
      <c r="P42" t="str">
        <f>_xll.RssFOPMarket($E42,P$1)</f>
        <v/>
      </c>
      <c r="Q42" t="str">
        <f>_xll.RssFOPMarket($E42,Q$1)</f>
        <v/>
      </c>
    </row>
    <row r="43" spans="1:17" x14ac:dyDescent="0.4">
      <c r="A43" t="str">
        <f t="shared" si="0"/>
        <v>N225MOP</v>
      </c>
      <c r="B43" t="str">
        <f t="shared" si="0"/>
        <v>202310#3</v>
      </c>
      <c r="C43" t="str">
        <f t="shared" si="0"/>
        <v>C</v>
      </c>
      <c r="D43">
        <f t="shared" si="1"/>
        <v>31375</v>
      </c>
      <c r="E43" t="str">
        <f>_xll.RssFOPCode(A43,B43,IF(C43="C",1,IF(C43="P",2,"")),D43)</f>
        <v>マーケットスピード II にログインして「接続中」の状態に変更してから利用してください。</v>
      </c>
      <c r="F43" t="str">
        <f>_xll.RssFOPMarket($E43,F$1)</f>
        <v/>
      </c>
      <c r="G43" t="str">
        <f>_xll.RssFOPMarket($E43,G$1)</f>
        <v/>
      </c>
      <c r="H43" t="str">
        <f>_xll.RssFOPMarket($E43,H$1)</f>
        <v/>
      </c>
      <c r="I43" t="str">
        <f>_xll.RssFOPMarket($E43,I$1)</f>
        <v/>
      </c>
      <c r="J43" t="str">
        <f>_xll.RssFOPMarket($E43,J$1)</f>
        <v/>
      </c>
      <c r="K43" t="str">
        <f>_xll.RssFOPMarket($E43,K$1)</f>
        <v/>
      </c>
      <c r="L43" t="str">
        <f>_xll.RssFOPMarket($E43,L$1)</f>
        <v/>
      </c>
      <c r="M43" t="str">
        <f>_xll.RssFOPMarket($E43,M$1)</f>
        <v/>
      </c>
      <c r="N43" t="str">
        <f>_xll.RssFOPMarket($E43,N$1)</f>
        <v/>
      </c>
      <c r="O43" t="str">
        <f>_xll.RssFOPMarket($E43,O$1)</f>
        <v/>
      </c>
      <c r="P43" t="str">
        <f>_xll.RssFOPMarket($E43,P$1)</f>
        <v/>
      </c>
      <c r="Q43" t="str">
        <f>_xll.RssFOPMarket($E43,Q$1)</f>
        <v/>
      </c>
    </row>
    <row r="44" spans="1:17" x14ac:dyDescent="0.4">
      <c r="A44" t="str">
        <f t="shared" si="0"/>
        <v>N225MOP</v>
      </c>
      <c r="B44" t="str">
        <f t="shared" si="0"/>
        <v>202310#3</v>
      </c>
      <c r="C44" t="str">
        <f t="shared" si="0"/>
        <v>C</v>
      </c>
      <c r="D44">
        <f t="shared" si="1"/>
        <v>31250</v>
      </c>
      <c r="E44" t="str">
        <f>_xll.RssFOPCode(A44,B44,IF(C44="C",1,IF(C44="P",2,"")),D44)</f>
        <v>マーケットスピード II にログインして「接続中」の状態に変更してから利用してください。</v>
      </c>
      <c r="F44" t="str">
        <f>_xll.RssFOPMarket($E44,F$1)</f>
        <v/>
      </c>
      <c r="G44" t="str">
        <f>_xll.RssFOPMarket($E44,G$1)</f>
        <v/>
      </c>
      <c r="H44" t="str">
        <f>_xll.RssFOPMarket($E44,H$1)</f>
        <v/>
      </c>
      <c r="I44" t="str">
        <f>_xll.RssFOPMarket($E44,I$1)</f>
        <v/>
      </c>
      <c r="J44" t="str">
        <f>_xll.RssFOPMarket($E44,J$1)</f>
        <v/>
      </c>
      <c r="K44" t="str">
        <f>_xll.RssFOPMarket($E44,K$1)</f>
        <v/>
      </c>
      <c r="L44" t="str">
        <f>_xll.RssFOPMarket($E44,L$1)</f>
        <v/>
      </c>
      <c r="M44" t="str">
        <f>_xll.RssFOPMarket($E44,M$1)</f>
        <v/>
      </c>
      <c r="N44" t="str">
        <f>_xll.RssFOPMarket($E44,N$1)</f>
        <v/>
      </c>
      <c r="O44" t="str">
        <f>_xll.RssFOPMarket($E44,O$1)</f>
        <v/>
      </c>
      <c r="P44" t="str">
        <f>_xll.RssFOPMarket($E44,P$1)</f>
        <v/>
      </c>
      <c r="Q44" t="str">
        <f>_xll.RssFOPMarket($E44,Q$1)</f>
        <v/>
      </c>
    </row>
    <row r="45" spans="1:17" x14ac:dyDescent="0.4">
      <c r="A45" t="str">
        <f t="shared" si="0"/>
        <v>N225MOP</v>
      </c>
      <c r="B45" t="str">
        <f t="shared" si="0"/>
        <v>202310#3</v>
      </c>
      <c r="C45" t="str">
        <f t="shared" si="0"/>
        <v>C</v>
      </c>
      <c r="D45">
        <f t="shared" si="1"/>
        <v>31125</v>
      </c>
      <c r="E45" t="str">
        <f>_xll.RssFOPCode(A45,B45,IF(C45="C",1,IF(C45="P",2,"")),D45)</f>
        <v>マーケットスピード II にログインして「接続中」の状態に変更してから利用してください。</v>
      </c>
      <c r="F45" t="str">
        <f>_xll.RssFOPMarket($E45,F$1)</f>
        <v/>
      </c>
      <c r="G45" t="str">
        <f>_xll.RssFOPMarket($E45,G$1)</f>
        <v/>
      </c>
      <c r="H45" t="str">
        <f>_xll.RssFOPMarket($E45,H$1)</f>
        <v/>
      </c>
      <c r="I45" t="str">
        <f>_xll.RssFOPMarket($E45,I$1)</f>
        <v/>
      </c>
      <c r="J45" t="str">
        <f>_xll.RssFOPMarket($E45,J$1)</f>
        <v/>
      </c>
      <c r="K45" t="str">
        <f>_xll.RssFOPMarket($E45,K$1)</f>
        <v/>
      </c>
      <c r="L45" t="str">
        <f>_xll.RssFOPMarket($E45,L$1)</f>
        <v/>
      </c>
      <c r="M45" t="str">
        <f>_xll.RssFOPMarket($E45,M$1)</f>
        <v/>
      </c>
      <c r="N45" t="str">
        <f>_xll.RssFOPMarket($E45,N$1)</f>
        <v/>
      </c>
      <c r="O45" t="str">
        <f>_xll.RssFOPMarket($E45,O$1)</f>
        <v/>
      </c>
      <c r="P45" t="str">
        <f>_xll.RssFOPMarket($E45,P$1)</f>
        <v/>
      </c>
      <c r="Q45" t="str">
        <f>_xll.RssFOPMarket($E45,Q$1)</f>
        <v/>
      </c>
    </row>
    <row r="46" spans="1:17" x14ac:dyDescent="0.4">
      <c r="A46" t="str">
        <f t="shared" si="0"/>
        <v>N225MOP</v>
      </c>
      <c r="B46" t="str">
        <f t="shared" si="0"/>
        <v>202310#3</v>
      </c>
      <c r="C46" t="str">
        <f t="shared" si="0"/>
        <v>C</v>
      </c>
      <c r="D46">
        <f t="shared" si="1"/>
        <v>31000</v>
      </c>
      <c r="E46" t="str">
        <f>_xll.RssFOPCode(A46,B46,IF(C46="C",1,IF(C46="P",2,"")),D46)</f>
        <v>マーケットスピード II にログインして「接続中」の状態に変更してから利用してください。</v>
      </c>
      <c r="F46" t="str">
        <f>_xll.RssFOPMarket($E46,F$1)</f>
        <v/>
      </c>
      <c r="G46" t="str">
        <f>_xll.RssFOPMarket($E46,G$1)</f>
        <v/>
      </c>
      <c r="H46" t="str">
        <f>_xll.RssFOPMarket($E46,H$1)</f>
        <v/>
      </c>
      <c r="I46" t="str">
        <f>_xll.RssFOPMarket($E46,I$1)</f>
        <v/>
      </c>
      <c r="J46" t="str">
        <f>_xll.RssFOPMarket($E46,J$1)</f>
        <v/>
      </c>
      <c r="K46" t="str">
        <f>_xll.RssFOPMarket($E46,K$1)</f>
        <v/>
      </c>
      <c r="L46" t="str">
        <f>_xll.RssFOPMarket($E46,L$1)</f>
        <v/>
      </c>
      <c r="M46" t="str">
        <f>_xll.RssFOPMarket($E46,M$1)</f>
        <v/>
      </c>
      <c r="N46" t="str">
        <f>_xll.RssFOPMarket($E46,N$1)</f>
        <v/>
      </c>
      <c r="O46" t="str">
        <f>_xll.RssFOPMarket($E46,O$1)</f>
        <v/>
      </c>
      <c r="P46" t="str">
        <f>_xll.RssFOPMarket($E46,P$1)</f>
        <v/>
      </c>
      <c r="Q46" t="str">
        <f>_xll.RssFOPMarket($E46,Q$1)</f>
        <v/>
      </c>
    </row>
    <row r="47" spans="1:17" x14ac:dyDescent="0.4">
      <c r="A47" t="str">
        <f t="shared" si="0"/>
        <v>N225MOP</v>
      </c>
      <c r="B47" t="str">
        <f t="shared" si="0"/>
        <v>202310#3</v>
      </c>
      <c r="C47" t="str">
        <f t="shared" si="0"/>
        <v>C</v>
      </c>
      <c r="D47">
        <f t="shared" si="1"/>
        <v>30875</v>
      </c>
      <c r="E47" t="str">
        <f>_xll.RssFOPCode(A47,B47,IF(C47="C",1,IF(C47="P",2,"")),D47)</f>
        <v>マーケットスピード II にログインして「接続中」の状態に変更してから利用してください。</v>
      </c>
      <c r="F47" t="str">
        <f>_xll.RssFOPMarket($E47,F$1)</f>
        <v/>
      </c>
      <c r="G47" t="str">
        <f>_xll.RssFOPMarket($E47,G$1)</f>
        <v/>
      </c>
      <c r="H47" t="str">
        <f>_xll.RssFOPMarket($E47,H$1)</f>
        <v/>
      </c>
      <c r="I47" t="str">
        <f>_xll.RssFOPMarket($E47,I$1)</f>
        <v/>
      </c>
      <c r="J47" t="str">
        <f>_xll.RssFOPMarket($E47,J$1)</f>
        <v/>
      </c>
      <c r="K47" t="str">
        <f>_xll.RssFOPMarket($E47,K$1)</f>
        <v/>
      </c>
      <c r="L47" t="str">
        <f>_xll.RssFOPMarket($E47,L$1)</f>
        <v/>
      </c>
      <c r="M47" t="str">
        <f>_xll.RssFOPMarket($E47,M$1)</f>
        <v/>
      </c>
      <c r="N47" t="str">
        <f>_xll.RssFOPMarket($E47,N$1)</f>
        <v/>
      </c>
      <c r="O47" t="str">
        <f>_xll.RssFOPMarket($E47,O$1)</f>
        <v/>
      </c>
      <c r="P47" t="str">
        <f>_xll.RssFOPMarket($E47,P$1)</f>
        <v/>
      </c>
      <c r="Q47" t="str">
        <f>_xll.RssFOPMarket($E47,Q$1)</f>
        <v/>
      </c>
    </row>
    <row r="48" spans="1:17" x14ac:dyDescent="0.4">
      <c r="A48" t="str">
        <f t="shared" si="0"/>
        <v>N225MOP</v>
      </c>
      <c r="B48" t="str">
        <f t="shared" si="0"/>
        <v>202310#3</v>
      </c>
      <c r="C48" t="str">
        <f t="shared" si="0"/>
        <v>C</v>
      </c>
      <c r="D48">
        <f t="shared" si="1"/>
        <v>30750</v>
      </c>
      <c r="E48" t="str">
        <f>_xll.RssFOPCode(A48,B48,IF(C48="C",1,IF(C48="P",2,"")),D48)</f>
        <v>マーケットスピード II にログインして「接続中」の状態に変更してから利用してください。</v>
      </c>
      <c r="F48" t="str">
        <f>_xll.RssFOPMarket($E48,F$1)</f>
        <v/>
      </c>
      <c r="G48" t="str">
        <f>_xll.RssFOPMarket($E48,G$1)</f>
        <v/>
      </c>
      <c r="H48" t="str">
        <f>_xll.RssFOPMarket($E48,H$1)</f>
        <v/>
      </c>
      <c r="I48" t="str">
        <f>_xll.RssFOPMarket($E48,I$1)</f>
        <v/>
      </c>
      <c r="J48" t="str">
        <f>_xll.RssFOPMarket($E48,J$1)</f>
        <v/>
      </c>
      <c r="K48" t="str">
        <f>_xll.RssFOPMarket($E48,K$1)</f>
        <v/>
      </c>
      <c r="L48" t="str">
        <f>_xll.RssFOPMarket($E48,L$1)</f>
        <v/>
      </c>
      <c r="M48" t="str">
        <f>_xll.RssFOPMarket($E48,M$1)</f>
        <v/>
      </c>
      <c r="N48" t="str">
        <f>_xll.RssFOPMarket($E48,N$1)</f>
        <v/>
      </c>
      <c r="O48" t="str">
        <f>_xll.RssFOPMarket($E48,O$1)</f>
        <v/>
      </c>
      <c r="P48" t="str">
        <f>_xll.RssFOPMarket($E48,P$1)</f>
        <v/>
      </c>
      <c r="Q48" t="str">
        <f>_xll.RssFOPMarket($E48,Q$1)</f>
        <v/>
      </c>
    </row>
    <row r="49" spans="1:17" x14ac:dyDescent="0.4">
      <c r="A49" t="str">
        <f t="shared" si="0"/>
        <v>N225MOP</v>
      </c>
      <c r="B49" t="str">
        <f t="shared" si="0"/>
        <v>202310#3</v>
      </c>
      <c r="C49" t="str">
        <f t="shared" si="0"/>
        <v>C</v>
      </c>
      <c r="D49">
        <f t="shared" si="1"/>
        <v>30625</v>
      </c>
      <c r="E49" t="str">
        <f>_xll.RssFOPCode(A49,B49,IF(C49="C",1,IF(C49="P",2,"")),D49)</f>
        <v>マーケットスピード II にログインして「接続中」の状態に変更してから利用してください。</v>
      </c>
      <c r="F49" t="str">
        <f>_xll.RssFOPMarket($E49,F$1)</f>
        <v/>
      </c>
      <c r="G49" t="str">
        <f>_xll.RssFOPMarket($E49,G$1)</f>
        <v/>
      </c>
      <c r="H49" t="str">
        <f>_xll.RssFOPMarket($E49,H$1)</f>
        <v/>
      </c>
      <c r="I49" t="str">
        <f>_xll.RssFOPMarket($E49,I$1)</f>
        <v/>
      </c>
      <c r="J49" t="str">
        <f>_xll.RssFOPMarket($E49,J$1)</f>
        <v/>
      </c>
      <c r="K49" t="str">
        <f>_xll.RssFOPMarket($E49,K$1)</f>
        <v/>
      </c>
      <c r="L49" t="str">
        <f>_xll.RssFOPMarket($E49,L$1)</f>
        <v/>
      </c>
      <c r="M49" t="str">
        <f>_xll.RssFOPMarket($E49,M$1)</f>
        <v/>
      </c>
      <c r="N49" t="str">
        <f>_xll.RssFOPMarket($E49,N$1)</f>
        <v/>
      </c>
      <c r="O49" t="str">
        <f>_xll.RssFOPMarket($E49,O$1)</f>
        <v/>
      </c>
      <c r="P49" t="str">
        <f>_xll.RssFOPMarket($E49,P$1)</f>
        <v/>
      </c>
      <c r="Q49" t="str">
        <f>_xll.RssFOPMarket($E49,Q$1)</f>
        <v/>
      </c>
    </row>
    <row r="50" spans="1:17" x14ac:dyDescent="0.4">
      <c r="A50" t="str">
        <f t="shared" si="0"/>
        <v>N225MOP</v>
      </c>
      <c r="B50" t="str">
        <f t="shared" si="0"/>
        <v>202310#3</v>
      </c>
      <c r="C50" t="str">
        <f t="shared" si="0"/>
        <v>C</v>
      </c>
      <c r="D50">
        <f t="shared" si="1"/>
        <v>30500</v>
      </c>
      <c r="E50" t="str">
        <f>_xll.RssFOPCode(A50,B50,IF(C50="C",1,IF(C50="P",2,"")),D50)</f>
        <v>マーケットスピード II にログインして「接続中」の状態に変更してから利用してください。</v>
      </c>
      <c r="F50" t="str">
        <f>_xll.RssFOPMarket($E50,F$1)</f>
        <v/>
      </c>
      <c r="G50" t="str">
        <f>_xll.RssFOPMarket($E50,G$1)</f>
        <v/>
      </c>
      <c r="H50" t="str">
        <f>_xll.RssFOPMarket($E50,H$1)</f>
        <v/>
      </c>
      <c r="I50" t="str">
        <f>_xll.RssFOPMarket($E50,I$1)</f>
        <v/>
      </c>
      <c r="J50" t="str">
        <f>_xll.RssFOPMarket($E50,J$1)</f>
        <v/>
      </c>
      <c r="K50" t="str">
        <f>_xll.RssFOPMarket($E50,K$1)</f>
        <v/>
      </c>
      <c r="L50" t="str">
        <f>_xll.RssFOPMarket($E50,L$1)</f>
        <v/>
      </c>
      <c r="M50" t="str">
        <f>_xll.RssFOPMarket($E50,M$1)</f>
        <v/>
      </c>
      <c r="N50" t="str">
        <f>_xll.RssFOPMarket($E50,N$1)</f>
        <v/>
      </c>
      <c r="O50" t="str">
        <f>_xll.RssFOPMarket($E50,O$1)</f>
        <v/>
      </c>
      <c r="P50" t="str">
        <f>_xll.RssFOPMarket($E50,P$1)</f>
        <v/>
      </c>
      <c r="Q50" t="str">
        <f>_xll.RssFOPMarket($E50,Q$1)</f>
        <v/>
      </c>
    </row>
    <row r="51" spans="1:17" x14ac:dyDescent="0.4">
      <c r="A51" t="str">
        <f t="shared" si="0"/>
        <v>N225MOP</v>
      </c>
      <c r="B51" t="str">
        <f t="shared" si="0"/>
        <v>202310#3</v>
      </c>
      <c r="C51" t="str">
        <f t="shared" si="0"/>
        <v>C</v>
      </c>
      <c r="D51">
        <f t="shared" si="1"/>
        <v>30375</v>
      </c>
      <c r="E51" t="str">
        <f>_xll.RssFOPCode(A51,B51,IF(C51="C",1,IF(C51="P",2,"")),D51)</f>
        <v>マーケットスピード II にログインして「接続中」の状態に変更してから利用してください。</v>
      </c>
      <c r="F51" t="str">
        <f>_xll.RssFOPMarket($E51,F$1)</f>
        <v/>
      </c>
      <c r="G51" t="str">
        <f>_xll.RssFOPMarket($E51,G$1)</f>
        <v/>
      </c>
      <c r="H51" t="str">
        <f>_xll.RssFOPMarket($E51,H$1)</f>
        <v/>
      </c>
      <c r="I51" t="str">
        <f>_xll.RssFOPMarket($E51,I$1)</f>
        <v/>
      </c>
      <c r="J51" t="str">
        <f>_xll.RssFOPMarket($E51,J$1)</f>
        <v/>
      </c>
      <c r="K51" t="str">
        <f>_xll.RssFOPMarket($E51,K$1)</f>
        <v/>
      </c>
      <c r="L51" t="str">
        <f>_xll.RssFOPMarket($E51,L$1)</f>
        <v/>
      </c>
      <c r="M51" t="str">
        <f>_xll.RssFOPMarket($E51,M$1)</f>
        <v/>
      </c>
      <c r="N51" t="str">
        <f>_xll.RssFOPMarket($E51,N$1)</f>
        <v/>
      </c>
      <c r="O51" t="str">
        <f>_xll.RssFOPMarket($E51,O$1)</f>
        <v/>
      </c>
      <c r="P51" t="str">
        <f>_xll.RssFOPMarket($E51,P$1)</f>
        <v/>
      </c>
      <c r="Q51" t="str">
        <f>_xll.RssFOPMarket($E51,Q$1)</f>
        <v/>
      </c>
    </row>
    <row r="52" spans="1:17" x14ac:dyDescent="0.4">
      <c r="A52" t="str">
        <f t="shared" si="0"/>
        <v>N225MOP</v>
      </c>
      <c r="B52" t="str">
        <f t="shared" si="0"/>
        <v>202310#3</v>
      </c>
      <c r="C52" t="str">
        <f t="shared" si="0"/>
        <v>C</v>
      </c>
      <c r="D52">
        <f t="shared" si="1"/>
        <v>30250</v>
      </c>
      <c r="E52" t="str">
        <f>_xll.RssFOPCode(A52,B52,IF(C52="C",1,IF(C52="P",2,"")),D52)</f>
        <v>マーケットスピード II にログインして「接続中」の状態に変更してから利用してください。</v>
      </c>
      <c r="F52" t="str">
        <f>_xll.RssFOPMarket($E52,F$1)</f>
        <v/>
      </c>
      <c r="G52" t="str">
        <f>_xll.RssFOPMarket($E52,G$1)</f>
        <v/>
      </c>
      <c r="H52" t="str">
        <f>_xll.RssFOPMarket($E52,H$1)</f>
        <v/>
      </c>
      <c r="I52" t="str">
        <f>_xll.RssFOPMarket($E52,I$1)</f>
        <v/>
      </c>
      <c r="J52" t="str">
        <f>_xll.RssFOPMarket($E52,J$1)</f>
        <v/>
      </c>
      <c r="K52" t="str">
        <f>_xll.RssFOPMarket($E52,K$1)</f>
        <v/>
      </c>
      <c r="L52" t="str">
        <f>_xll.RssFOPMarket($E52,L$1)</f>
        <v/>
      </c>
      <c r="M52" t="str">
        <f>_xll.RssFOPMarket($E52,M$1)</f>
        <v/>
      </c>
      <c r="N52" t="str">
        <f>_xll.RssFOPMarket($E52,N$1)</f>
        <v/>
      </c>
      <c r="O52" t="str">
        <f>_xll.RssFOPMarket($E52,O$1)</f>
        <v/>
      </c>
      <c r="P52" t="str">
        <f>_xll.RssFOPMarket($E52,P$1)</f>
        <v/>
      </c>
      <c r="Q52" t="str">
        <f>_xll.RssFOPMarket($E52,Q$1)</f>
        <v/>
      </c>
    </row>
    <row r="53" spans="1:17" x14ac:dyDescent="0.4">
      <c r="A53" t="str">
        <f t="shared" si="0"/>
        <v>N225MOP</v>
      </c>
      <c r="B53" t="str">
        <f t="shared" si="0"/>
        <v>202310#3</v>
      </c>
      <c r="C53" t="str">
        <f t="shared" si="0"/>
        <v>C</v>
      </c>
      <c r="D53">
        <f t="shared" si="1"/>
        <v>30125</v>
      </c>
      <c r="E53" t="str">
        <f>_xll.RssFOPCode(A53,B53,IF(C53="C",1,IF(C53="P",2,"")),D53)</f>
        <v>マーケットスピード II にログインして「接続中」の状態に変更してから利用してください。</v>
      </c>
      <c r="F53" t="str">
        <f>_xll.RssFOPMarket($E53,F$1)</f>
        <v/>
      </c>
      <c r="G53" t="str">
        <f>_xll.RssFOPMarket($E53,G$1)</f>
        <v/>
      </c>
      <c r="H53" t="str">
        <f>_xll.RssFOPMarket($E53,H$1)</f>
        <v/>
      </c>
      <c r="I53" t="str">
        <f>_xll.RssFOPMarket($E53,I$1)</f>
        <v/>
      </c>
      <c r="J53" t="str">
        <f>_xll.RssFOPMarket($E53,J$1)</f>
        <v/>
      </c>
      <c r="K53" t="str">
        <f>_xll.RssFOPMarket($E53,K$1)</f>
        <v/>
      </c>
      <c r="L53" t="str">
        <f>_xll.RssFOPMarket($E53,L$1)</f>
        <v/>
      </c>
      <c r="M53" t="str">
        <f>_xll.RssFOPMarket($E53,M$1)</f>
        <v/>
      </c>
      <c r="N53" t="str">
        <f>_xll.RssFOPMarket($E53,N$1)</f>
        <v/>
      </c>
      <c r="O53" t="str">
        <f>_xll.RssFOPMarket($E53,O$1)</f>
        <v/>
      </c>
      <c r="P53" t="str">
        <f>_xll.RssFOPMarket($E53,P$1)</f>
        <v/>
      </c>
      <c r="Q53" t="str">
        <f>_xll.RssFOPMarket($E53,Q$1)</f>
        <v/>
      </c>
    </row>
    <row r="54" spans="1:17" x14ac:dyDescent="0.4">
      <c r="A54" t="str">
        <f t="shared" si="0"/>
        <v>N225MOP</v>
      </c>
      <c r="B54" t="str">
        <f t="shared" si="0"/>
        <v>202310#3</v>
      </c>
      <c r="C54" t="str">
        <f t="shared" si="0"/>
        <v>C</v>
      </c>
      <c r="D54">
        <f t="shared" si="1"/>
        <v>30000</v>
      </c>
      <c r="E54" t="str">
        <f>_xll.RssFOPCode(A54,B54,IF(C54="C",1,IF(C54="P",2,"")),D54)</f>
        <v>マーケットスピード II にログインして「接続中」の状態に変更してから利用してください。</v>
      </c>
      <c r="F54" t="str">
        <f>_xll.RssFOPMarket($E54,F$1)</f>
        <v/>
      </c>
      <c r="G54" t="str">
        <f>_xll.RssFOPMarket($E54,G$1)</f>
        <v/>
      </c>
      <c r="H54" t="str">
        <f>_xll.RssFOPMarket($E54,H$1)</f>
        <v/>
      </c>
      <c r="I54" t="str">
        <f>_xll.RssFOPMarket($E54,I$1)</f>
        <v/>
      </c>
      <c r="J54" t="str">
        <f>_xll.RssFOPMarket($E54,J$1)</f>
        <v/>
      </c>
      <c r="K54" t="str">
        <f>_xll.RssFOPMarket($E54,K$1)</f>
        <v/>
      </c>
      <c r="L54" t="str">
        <f>_xll.RssFOPMarket($E54,L$1)</f>
        <v/>
      </c>
      <c r="M54" t="str">
        <f>_xll.RssFOPMarket($E54,M$1)</f>
        <v/>
      </c>
      <c r="N54" t="str">
        <f>_xll.RssFOPMarket($E54,N$1)</f>
        <v/>
      </c>
      <c r="O54" t="str">
        <f>_xll.RssFOPMarket($E54,O$1)</f>
        <v/>
      </c>
      <c r="P54" t="str">
        <f>_xll.RssFOPMarket($E54,P$1)</f>
        <v/>
      </c>
      <c r="Q54" t="str">
        <f>_xll.RssFOPMarket($E54,Q$1)</f>
        <v/>
      </c>
    </row>
    <row r="55" spans="1:17" x14ac:dyDescent="0.4">
      <c r="A55" t="str">
        <f t="shared" si="0"/>
        <v>N225MOP</v>
      </c>
      <c r="B55" t="str">
        <f t="shared" si="0"/>
        <v>202310#3</v>
      </c>
      <c r="C55" t="str">
        <f t="shared" si="0"/>
        <v>C</v>
      </c>
      <c r="D55">
        <f t="shared" si="1"/>
        <v>29875</v>
      </c>
      <c r="E55" t="str">
        <f>_xll.RssFOPCode(A55,B55,IF(C55="C",1,IF(C55="P",2,"")),D55)</f>
        <v>マーケットスピード II にログインして「接続中」の状態に変更してから利用してください。</v>
      </c>
      <c r="F55" t="str">
        <f>_xll.RssFOPMarket($E55,F$1)</f>
        <v/>
      </c>
      <c r="G55" t="str">
        <f>_xll.RssFOPMarket($E55,G$1)</f>
        <v/>
      </c>
      <c r="H55" t="str">
        <f>_xll.RssFOPMarket($E55,H$1)</f>
        <v/>
      </c>
      <c r="I55" t="str">
        <f>_xll.RssFOPMarket($E55,I$1)</f>
        <v/>
      </c>
      <c r="J55" t="str">
        <f>_xll.RssFOPMarket($E55,J$1)</f>
        <v/>
      </c>
      <c r="K55" t="str">
        <f>_xll.RssFOPMarket($E55,K$1)</f>
        <v/>
      </c>
      <c r="L55" t="str">
        <f>_xll.RssFOPMarket($E55,L$1)</f>
        <v/>
      </c>
      <c r="M55" t="str">
        <f>_xll.RssFOPMarket($E55,M$1)</f>
        <v/>
      </c>
      <c r="N55" t="str">
        <f>_xll.RssFOPMarket($E55,N$1)</f>
        <v/>
      </c>
      <c r="O55" t="str">
        <f>_xll.RssFOPMarket($E55,O$1)</f>
        <v/>
      </c>
      <c r="P55" t="str">
        <f>_xll.RssFOPMarket($E55,P$1)</f>
        <v/>
      </c>
      <c r="Q55" t="str">
        <f>_xll.RssFOPMarket($E55,Q$1)</f>
        <v/>
      </c>
    </row>
    <row r="56" spans="1:17" x14ac:dyDescent="0.4">
      <c r="A56" t="str">
        <f t="shared" si="0"/>
        <v>N225MOP</v>
      </c>
      <c r="B56" t="str">
        <f t="shared" si="0"/>
        <v>202310#3</v>
      </c>
      <c r="C56" t="str">
        <f t="shared" si="0"/>
        <v>C</v>
      </c>
      <c r="D56">
        <f t="shared" si="1"/>
        <v>29750</v>
      </c>
      <c r="E56" t="str">
        <f>_xll.RssFOPCode(A56,B56,IF(C56="C",1,IF(C56="P",2,"")),D56)</f>
        <v>マーケットスピード II にログインして「接続中」の状態に変更してから利用してください。</v>
      </c>
      <c r="F56" t="str">
        <f>_xll.RssFOPMarket($E56,F$1)</f>
        <v/>
      </c>
      <c r="G56" t="str">
        <f>_xll.RssFOPMarket($E56,G$1)</f>
        <v/>
      </c>
      <c r="H56" t="str">
        <f>_xll.RssFOPMarket($E56,H$1)</f>
        <v/>
      </c>
      <c r="I56" t="str">
        <f>_xll.RssFOPMarket($E56,I$1)</f>
        <v/>
      </c>
      <c r="J56" t="str">
        <f>_xll.RssFOPMarket($E56,J$1)</f>
        <v/>
      </c>
      <c r="K56" t="str">
        <f>_xll.RssFOPMarket($E56,K$1)</f>
        <v/>
      </c>
      <c r="L56" t="str">
        <f>_xll.RssFOPMarket($E56,L$1)</f>
        <v/>
      </c>
      <c r="M56" t="str">
        <f>_xll.RssFOPMarket($E56,M$1)</f>
        <v/>
      </c>
      <c r="N56" t="str">
        <f>_xll.RssFOPMarket($E56,N$1)</f>
        <v/>
      </c>
      <c r="O56" t="str">
        <f>_xll.RssFOPMarket($E56,O$1)</f>
        <v/>
      </c>
      <c r="P56" t="str">
        <f>_xll.RssFOPMarket($E56,P$1)</f>
        <v/>
      </c>
      <c r="Q56" t="str">
        <f>_xll.RssFOPMarket($E56,Q$1)</f>
        <v/>
      </c>
    </row>
    <row r="57" spans="1:17" x14ac:dyDescent="0.4">
      <c r="A57" t="str">
        <f t="shared" si="0"/>
        <v>N225MOP</v>
      </c>
      <c r="B57" t="str">
        <f t="shared" si="0"/>
        <v>202310#3</v>
      </c>
      <c r="C57" t="str">
        <f t="shared" si="0"/>
        <v>C</v>
      </c>
      <c r="D57">
        <f t="shared" si="1"/>
        <v>29625</v>
      </c>
      <c r="E57" t="str">
        <f>_xll.RssFOPCode(A57,B57,IF(C57="C",1,IF(C57="P",2,"")),D57)</f>
        <v>マーケットスピード II にログインして「接続中」の状態に変更してから利用してください。</v>
      </c>
      <c r="F57" t="str">
        <f>_xll.RssFOPMarket($E57,F$1)</f>
        <v/>
      </c>
      <c r="G57" t="str">
        <f>_xll.RssFOPMarket($E57,G$1)</f>
        <v/>
      </c>
      <c r="H57" t="str">
        <f>_xll.RssFOPMarket($E57,H$1)</f>
        <v/>
      </c>
      <c r="I57" t="str">
        <f>_xll.RssFOPMarket($E57,I$1)</f>
        <v/>
      </c>
      <c r="J57" t="str">
        <f>_xll.RssFOPMarket($E57,J$1)</f>
        <v/>
      </c>
      <c r="K57" t="str">
        <f>_xll.RssFOPMarket($E57,K$1)</f>
        <v/>
      </c>
      <c r="L57" t="str">
        <f>_xll.RssFOPMarket($E57,L$1)</f>
        <v/>
      </c>
      <c r="M57" t="str">
        <f>_xll.RssFOPMarket($E57,M$1)</f>
        <v/>
      </c>
      <c r="N57" t="str">
        <f>_xll.RssFOPMarket($E57,N$1)</f>
        <v/>
      </c>
      <c r="O57" t="str">
        <f>_xll.RssFOPMarket($E57,O$1)</f>
        <v/>
      </c>
      <c r="P57" t="str">
        <f>_xll.RssFOPMarket($E57,P$1)</f>
        <v/>
      </c>
      <c r="Q57" t="str">
        <f>_xll.RssFOPMarket($E57,Q$1)</f>
        <v/>
      </c>
    </row>
    <row r="58" spans="1:17" x14ac:dyDescent="0.4">
      <c r="A58" t="str">
        <f t="shared" si="0"/>
        <v>N225MOP</v>
      </c>
      <c r="B58" t="str">
        <f t="shared" si="0"/>
        <v>202310#3</v>
      </c>
      <c r="C58" t="str">
        <f t="shared" si="0"/>
        <v>C</v>
      </c>
      <c r="D58">
        <f t="shared" si="1"/>
        <v>29500</v>
      </c>
      <c r="E58" t="str">
        <f>_xll.RssFOPCode(A58,B58,IF(C58="C",1,IF(C58="P",2,"")),D58)</f>
        <v>マーケットスピード II にログインして「接続中」の状態に変更してから利用してください。</v>
      </c>
      <c r="F58" t="str">
        <f>_xll.RssFOPMarket($E58,F$1)</f>
        <v/>
      </c>
      <c r="G58" t="str">
        <f>_xll.RssFOPMarket($E58,G$1)</f>
        <v/>
      </c>
      <c r="H58" t="str">
        <f>_xll.RssFOPMarket($E58,H$1)</f>
        <v/>
      </c>
      <c r="I58" t="str">
        <f>_xll.RssFOPMarket($E58,I$1)</f>
        <v/>
      </c>
      <c r="J58" t="str">
        <f>_xll.RssFOPMarket($E58,J$1)</f>
        <v/>
      </c>
      <c r="K58" t="str">
        <f>_xll.RssFOPMarket($E58,K$1)</f>
        <v/>
      </c>
      <c r="L58" t="str">
        <f>_xll.RssFOPMarket($E58,L$1)</f>
        <v/>
      </c>
      <c r="M58" t="str">
        <f>_xll.RssFOPMarket($E58,M$1)</f>
        <v/>
      </c>
      <c r="N58" t="str">
        <f>_xll.RssFOPMarket($E58,N$1)</f>
        <v/>
      </c>
      <c r="O58" t="str">
        <f>_xll.RssFOPMarket($E58,O$1)</f>
        <v/>
      </c>
      <c r="P58" t="str">
        <f>_xll.RssFOPMarket($E58,P$1)</f>
        <v/>
      </c>
      <c r="Q58" t="str">
        <f>_xll.RssFOPMarket($E58,Q$1)</f>
        <v/>
      </c>
    </row>
    <row r="59" spans="1:17" x14ac:dyDescent="0.4">
      <c r="A59" t="str">
        <f t="shared" si="0"/>
        <v>N225MOP</v>
      </c>
      <c r="B59" t="str">
        <f t="shared" si="0"/>
        <v>202310#3</v>
      </c>
      <c r="C59" t="str">
        <f t="shared" si="0"/>
        <v>C</v>
      </c>
      <c r="D59">
        <f t="shared" si="1"/>
        <v>29375</v>
      </c>
      <c r="E59" t="str">
        <f>_xll.RssFOPCode(A59,B59,IF(C59="C",1,IF(C59="P",2,"")),D59)</f>
        <v>マーケットスピード II にログインして「接続中」の状態に変更してから利用してください。</v>
      </c>
      <c r="F59" t="str">
        <f>_xll.RssFOPMarket($E59,F$1)</f>
        <v/>
      </c>
      <c r="G59" t="str">
        <f>_xll.RssFOPMarket($E59,G$1)</f>
        <v/>
      </c>
      <c r="H59" t="str">
        <f>_xll.RssFOPMarket($E59,H$1)</f>
        <v/>
      </c>
      <c r="I59" t="str">
        <f>_xll.RssFOPMarket($E59,I$1)</f>
        <v/>
      </c>
      <c r="J59" t="str">
        <f>_xll.RssFOPMarket($E59,J$1)</f>
        <v/>
      </c>
      <c r="K59" t="str">
        <f>_xll.RssFOPMarket($E59,K$1)</f>
        <v/>
      </c>
      <c r="L59" t="str">
        <f>_xll.RssFOPMarket($E59,L$1)</f>
        <v/>
      </c>
      <c r="M59" t="str">
        <f>_xll.RssFOPMarket($E59,M$1)</f>
        <v/>
      </c>
      <c r="N59" t="str">
        <f>_xll.RssFOPMarket($E59,N$1)</f>
        <v/>
      </c>
      <c r="O59" t="str">
        <f>_xll.RssFOPMarket($E59,O$1)</f>
        <v/>
      </c>
      <c r="P59" t="str">
        <f>_xll.RssFOPMarket($E59,P$1)</f>
        <v/>
      </c>
      <c r="Q59" t="str">
        <f>_xll.RssFOPMarket($E59,Q$1)</f>
        <v/>
      </c>
    </row>
    <row r="60" spans="1:17" x14ac:dyDescent="0.4">
      <c r="A60" t="str">
        <f t="shared" si="0"/>
        <v>N225MOP</v>
      </c>
      <c r="B60" t="str">
        <f t="shared" si="0"/>
        <v>202310#3</v>
      </c>
      <c r="C60" t="str">
        <f t="shared" si="0"/>
        <v>C</v>
      </c>
      <c r="D60">
        <f t="shared" si="1"/>
        <v>29250</v>
      </c>
      <c r="E60" t="str">
        <f>_xll.RssFOPCode(A60,B60,IF(C60="C",1,IF(C60="P",2,"")),D60)</f>
        <v>マーケットスピード II にログインして「接続中」の状態に変更してから利用してください。</v>
      </c>
      <c r="F60" t="str">
        <f>_xll.RssFOPMarket($E60,F$1)</f>
        <v/>
      </c>
      <c r="G60" t="str">
        <f>_xll.RssFOPMarket($E60,G$1)</f>
        <v/>
      </c>
      <c r="H60" t="str">
        <f>_xll.RssFOPMarket($E60,H$1)</f>
        <v/>
      </c>
      <c r="I60" t="str">
        <f>_xll.RssFOPMarket($E60,I$1)</f>
        <v/>
      </c>
      <c r="J60" t="str">
        <f>_xll.RssFOPMarket($E60,J$1)</f>
        <v/>
      </c>
      <c r="K60" t="str">
        <f>_xll.RssFOPMarket($E60,K$1)</f>
        <v/>
      </c>
      <c r="L60" t="str">
        <f>_xll.RssFOPMarket($E60,L$1)</f>
        <v/>
      </c>
      <c r="M60" t="str">
        <f>_xll.RssFOPMarket($E60,M$1)</f>
        <v/>
      </c>
      <c r="N60" t="str">
        <f>_xll.RssFOPMarket($E60,N$1)</f>
        <v/>
      </c>
      <c r="O60" t="str">
        <f>_xll.RssFOPMarket($E60,O$1)</f>
        <v/>
      </c>
      <c r="P60" t="str">
        <f>_xll.RssFOPMarket($E60,P$1)</f>
        <v/>
      </c>
      <c r="Q60" t="str">
        <f>_xll.RssFOPMarket($E60,Q$1)</f>
        <v/>
      </c>
    </row>
    <row r="61" spans="1:17" x14ac:dyDescent="0.4">
      <c r="A61" t="str">
        <f t="shared" si="0"/>
        <v>N225MOP</v>
      </c>
      <c r="B61" t="str">
        <f t="shared" si="0"/>
        <v>202310#3</v>
      </c>
      <c r="C61" t="str">
        <f t="shared" si="0"/>
        <v>C</v>
      </c>
      <c r="D61">
        <f t="shared" si="1"/>
        <v>29125</v>
      </c>
      <c r="E61" t="str">
        <f>_xll.RssFOPCode(A61,B61,IF(C61="C",1,IF(C61="P",2,"")),D61)</f>
        <v>マーケットスピード II にログインして「接続中」の状態に変更してから利用してください。</v>
      </c>
      <c r="F61" t="str">
        <f>_xll.RssFOPMarket($E61,F$1)</f>
        <v/>
      </c>
      <c r="G61" t="str">
        <f>_xll.RssFOPMarket($E61,G$1)</f>
        <v/>
      </c>
      <c r="H61" t="str">
        <f>_xll.RssFOPMarket($E61,H$1)</f>
        <v/>
      </c>
      <c r="I61" t="str">
        <f>_xll.RssFOPMarket($E61,I$1)</f>
        <v/>
      </c>
      <c r="J61" t="str">
        <f>_xll.RssFOPMarket($E61,J$1)</f>
        <v/>
      </c>
      <c r="K61" t="str">
        <f>_xll.RssFOPMarket($E61,K$1)</f>
        <v/>
      </c>
      <c r="L61" t="str">
        <f>_xll.RssFOPMarket($E61,L$1)</f>
        <v/>
      </c>
      <c r="M61" t="str">
        <f>_xll.RssFOPMarket($E61,M$1)</f>
        <v/>
      </c>
      <c r="N61" t="str">
        <f>_xll.RssFOPMarket($E61,N$1)</f>
        <v/>
      </c>
      <c r="O61" t="str">
        <f>_xll.RssFOPMarket($E61,O$1)</f>
        <v/>
      </c>
      <c r="P61" t="str">
        <f>_xll.RssFOPMarket($E61,P$1)</f>
        <v/>
      </c>
      <c r="Q61" t="str">
        <f>_xll.RssFOPMarket($E61,Q$1)</f>
        <v/>
      </c>
    </row>
    <row r="62" spans="1:17" x14ac:dyDescent="0.4">
      <c r="A62" t="str">
        <f t="shared" si="0"/>
        <v>N225MOP</v>
      </c>
      <c r="B62" t="str">
        <f t="shared" si="0"/>
        <v>202310#3</v>
      </c>
      <c r="C62" t="str">
        <f t="shared" si="0"/>
        <v>C</v>
      </c>
      <c r="D62">
        <f t="shared" si="1"/>
        <v>29000</v>
      </c>
      <c r="E62" t="str">
        <f>_xll.RssFOPCode(A62,B62,IF(C62="C",1,IF(C62="P",2,"")),D62)</f>
        <v>マーケットスピード II にログインして「接続中」の状態に変更してから利用してください。</v>
      </c>
      <c r="F62" t="str">
        <f>_xll.RssFOPMarket($E62,F$1)</f>
        <v/>
      </c>
      <c r="G62" t="str">
        <f>_xll.RssFOPMarket($E62,G$1)</f>
        <v/>
      </c>
      <c r="H62" t="str">
        <f>_xll.RssFOPMarket($E62,H$1)</f>
        <v/>
      </c>
      <c r="I62" t="str">
        <f>_xll.RssFOPMarket($E62,I$1)</f>
        <v/>
      </c>
      <c r="J62" t="str">
        <f>_xll.RssFOPMarket($E62,J$1)</f>
        <v/>
      </c>
      <c r="K62" t="str">
        <f>_xll.RssFOPMarket($E62,K$1)</f>
        <v/>
      </c>
      <c r="L62" t="str">
        <f>_xll.RssFOPMarket($E62,L$1)</f>
        <v/>
      </c>
      <c r="M62" t="str">
        <f>_xll.RssFOPMarket($E62,M$1)</f>
        <v/>
      </c>
      <c r="N62" t="str">
        <f>_xll.RssFOPMarket($E62,N$1)</f>
        <v/>
      </c>
      <c r="O62" t="str">
        <f>_xll.RssFOPMarket($E62,O$1)</f>
        <v/>
      </c>
      <c r="P62" t="str">
        <f>_xll.RssFOPMarket($E62,P$1)</f>
        <v/>
      </c>
      <c r="Q62" t="str">
        <f>_xll.RssFOPMarket($E62,Q$1)</f>
        <v/>
      </c>
    </row>
    <row r="63" spans="1:17" x14ac:dyDescent="0.4">
      <c r="A63" t="str">
        <f t="shared" si="0"/>
        <v>N225MOP</v>
      </c>
      <c r="B63" t="str">
        <f t="shared" si="0"/>
        <v>202310#3</v>
      </c>
      <c r="C63" t="str">
        <f t="shared" si="0"/>
        <v>C</v>
      </c>
      <c r="D63">
        <f t="shared" si="1"/>
        <v>28875</v>
      </c>
      <c r="E63" t="str">
        <f>_xll.RssFOPCode(A63,B63,IF(C63="C",1,IF(C63="P",2,"")),D63)</f>
        <v>マーケットスピード II にログインして「接続中」の状態に変更してから利用してください。</v>
      </c>
      <c r="F63" t="str">
        <f>_xll.RssFOPMarket($E63,F$1)</f>
        <v/>
      </c>
      <c r="G63" t="str">
        <f>_xll.RssFOPMarket($E63,G$1)</f>
        <v/>
      </c>
      <c r="H63" t="str">
        <f>_xll.RssFOPMarket($E63,H$1)</f>
        <v/>
      </c>
      <c r="I63" t="str">
        <f>_xll.RssFOPMarket($E63,I$1)</f>
        <v/>
      </c>
      <c r="J63" t="str">
        <f>_xll.RssFOPMarket($E63,J$1)</f>
        <v/>
      </c>
      <c r="K63" t="str">
        <f>_xll.RssFOPMarket($E63,K$1)</f>
        <v/>
      </c>
      <c r="L63" t="str">
        <f>_xll.RssFOPMarket($E63,L$1)</f>
        <v/>
      </c>
      <c r="M63" t="str">
        <f>_xll.RssFOPMarket($E63,M$1)</f>
        <v/>
      </c>
      <c r="N63" t="str">
        <f>_xll.RssFOPMarket($E63,N$1)</f>
        <v/>
      </c>
      <c r="O63" t="str">
        <f>_xll.RssFOPMarket($E63,O$1)</f>
        <v/>
      </c>
      <c r="P63" t="str">
        <f>_xll.RssFOPMarket($E63,P$1)</f>
        <v/>
      </c>
      <c r="Q63" t="str">
        <f>_xll.RssFOPMarket($E63,Q$1)</f>
        <v/>
      </c>
    </row>
    <row r="64" spans="1:17" x14ac:dyDescent="0.4">
      <c r="A64" t="str">
        <f t="shared" si="0"/>
        <v>N225MOP</v>
      </c>
      <c r="B64" t="str">
        <f t="shared" si="0"/>
        <v>202310#3</v>
      </c>
      <c r="C64" t="str">
        <f t="shared" si="0"/>
        <v>C</v>
      </c>
      <c r="D64">
        <f t="shared" si="1"/>
        <v>28750</v>
      </c>
      <c r="E64" t="str">
        <f>_xll.RssFOPCode(A64,B64,IF(C64="C",1,IF(C64="P",2,"")),D64)</f>
        <v>マーケットスピード II にログインして「接続中」の状態に変更してから利用してください。</v>
      </c>
      <c r="F64" t="str">
        <f>_xll.RssFOPMarket($E64,F$1)</f>
        <v/>
      </c>
      <c r="G64" t="str">
        <f>_xll.RssFOPMarket($E64,G$1)</f>
        <v/>
      </c>
      <c r="H64" t="str">
        <f>_xll.RssFOPMarket($E64,H$1)</f>
        <v/>
      </c>
      <c r="I64" t="str">
        <f>_xll.RssFOPMarket($E64,I$1)</f>
        <v/>
      </c>
      <c r="J64" t="str">
        <f>_xll.RssFOPMarket($E64,J$1)</f>
        <v/>
      </c>
      <c r="K64" t="str">
        <f>_xll.RssFOPMarket($E64,K$1)</f>
        <v/>
      </c>
      <c r="L64" t="str">
        <f>_xll.RssFOPMarket($E64,L$1)</f>
        <v/>
      </c>
      <c r="M64" t="str">
        <f>_xll.RssFOPMarket($E64,M$1)</f>
        <v/>
      </c>
      <c r="N64" t="str">
        <f>_xll.RssFOPMarket($E64,N$1)</f>
        <v/>
      </c>
      <c r="O64" t="str">
        <f>_xll.RssFOPMarket($E64,O$1)</f>
        <v/>
      </c>
      <c r="P64" t="str">
        <f>_xll.RssFOPMarket($E64,P$1)</f>
        <v/>
      </c>
      <c r="Q64" t="str">
        <f>_xll.RssFOPMarket($E64,Q$1)</f>
        <v/>
      </c>
    </row>
    <row r="65" spans="1:17" x14ac:dyDescent="0.4">
      <c r="A65" t="str">
        <f t="shared" si="0"/>
        <v>N225MOP</v>
      </c>
      <c r="B65" t="str">
        <f t="shared" si="0"/>
        <v>202310#3</v>
      </c>
      <c r="C65" t="str">
        <f t="shared" si="0"/>
        <v>C</v>
      </c>
      <c r="D65">
        <f t="shared" si="1"/>
        <v>28625</v>
      </c>
      <c r="E65" t="str">
        <f>_xll.RssFOPCode(A65,B65,IF(C65="C",1,IF(C65="P",2,"")),D65)</f>
        <v>マーケットスピード II にログインして「接続中」の状態に変更してから利用してください。</v>
      </c>
      <c r="F65" t="str">
        <f>_xll.RssFOPMarket($E65,F$1)</f>
        <v/>
      </c>
      <c r="G65" t="str">
        <f>_xll.RssFOPMarket($E65,G$1)</f>
        <v/>
      </c>
      <c r="H65" t="str">
        <f>_xll.RssFOPMarket($E65,H$1)</f>
        <v/>
      </c>
      <c r="I65" t="str">
        <f>_xll.RssFOPMarket($E65,I$1)</f>
        <v/>
      </c>
      <c r="J65" t="str">
        <f>_xll.RssFOPMarket($E65,J$1)</f>
        <v/>
      </c>
      <c r="K65" t="str">
        <f>_xll.RssFOPMarket($E65,K$1)</f>
        <v/>
      </c>
      <c r="L65" t="str">
        <f>_xll.RssFOPMarket($E65,L$1)</f>
        <v/>
      </c>
      <c r="M65" t="str">
        <f>_xll.RssFOPMarket($E65,M$1)</f>
        <v/>
      </c>
      <c r="N65" t="str">
        <f>_xll.RssFOPMarket($E65,N$1)</f>
        <v/>
      </c>
      <c r="O65" t="str">
        <f>_xll.RssFOPMarket($E65,O$1)</f>
        <v/>
      </c>
      <c r="P65" t="str">
        <f>_xll.RssFOPMarket($E65,P$1)</f>
        <v/>
      </c>
      <c r="Q65" t="str">
        <f>_xll.RssFOPMarket($E65,Q$1)</f>
        <v/>
      </c>
    </row>
    <row r="66" spans="1:17" x14ac:dyDescent="0.4">
      <c r="A66" t="str">
        <f t="shared" si="0"/>
        <v>N225MOP</v>
      </c>
      <c r="B66" t="str">
        <f t="shared" si="0"/>
        <v>202310#3</v>
      </c>
      <c r="C66" t="str">
        <f t="shared" si="0"/>
        <v>C</v>
      </c>
      <c r="D66">
        <f t="shared" si="1"/>
        <v>28500</v>
      </c>
      <c r="E66" t="str">
        <f>_xll.RssFOPCode(A66,B66,IF(C66="C",1,IF(C66="P",2,"")),D66)</f>
        <v>マーケットスピード II にログインして「接続中」の状態に変更してから利用してください。</v>
      </c>
      <c r="F66" t="str">
        <f>_xll.RssFOPMarket($E66,F$1)</f>
        <v/>
      </c>
      <c r="G66" t="str">
        <f>_xll.RssFOPMarket($E66,G$1)</f>
        <v/>
      </c>
      <c r="H66" t="str">
        <f>_xll.RssFOPMarket($E66,H$1)</f>
        <v/>
      </c>
      <c r="I66" t="str">
        <f>_xll.RssFOPMarket($E66,I$1)</f>
        <v/>
      </c>
      <c r="J66" t="str">
        <f>_xll.RssFOPMarket($E66,J$1)</f>
        <v/>
      </c>
      <c r="K66" t="str">
        <f>_xll.RssFOPMarket($E66,K$1)</f>
        <v/>
      </c>
      <c r="L66" t="str">
        <f>_xll.RssFOPMarket($E66,L$1)</f>
        <v/>
      </c>
      <c r="M66" t="str">
        <f>_xll.RssFOPMarket($E66,M$1)</f>
        <v/>
      </c>
      <c r="N66" t="str">
        <f>_xll.RssFOPMarket($E66,N$1)</f>
        <v/>
      </c>
      <c r="O66" t="str">
        <f>_xll.RssFOPMarket($E66,O$1)</f>
        <v/>
      </c>
      <c r="P66" t="str">
        <f>_xll.RssFOPMarket($E66,P$1)</f>
        <v/>
      </c>
      <c r="Q66" t="str">
        <f>_xll.RssFOPMarket($E66,Q$1)</f>
        <v/>
      </c>
    </row>
    <row r="67" spans="1:17" x14ac:dyDescent="0.4">
      <c r="A67" t="str">
        <f t="shared" si="0"/>
        <v>N225MOP</v>
      </c>
      <c r="B67" t="str">
        <f t="shared" si="0"/>
        <v>202310#3</v>
      </c>
      <c r="C67" t="str">
        <f t="shared" si="0"/>
        <v>C</v>
      </c>
      <c r="D67">
        <f t="shared" si="1"/>
        <v>28375</v>
      </c>
      <c r="E67" t="str">
        <f>_xll.RssFOPCode(A67,B67,IF(C67="C",1,IF(C67="P",2,"")),D67)</f>
        <v>マーケットスピード II にログインして「接続中」の状態に変更してから利用してください。</v>
      </c>
      <c r="F67" t="str">
        <f>_xll.RssFOPMarket($E67,F$1)</f>
        <v/>
      </c>
      <c r="G67" t="str">
        <f>_xll.RssFOPMarket($E67,G$1)</f>
        <v/>
      </c>
      <c r="H67" t="str">
        <f>_xll.RssFOPMarket($E67,H$1)</f>
        <v/>
      </c>
      <c r="I67" t="str">
        <f>_xll.RssFOPMarket($E67,I$1)</f>
        <v/>
      </c>
      <c r="J67" t="str">
        <f>_xll.RssFOPMarket($E67,J$1)</f>
        <v/>
      </c>
      <c r="K67" t="str">
        <f>_xll.RssFOPMarket($E67,K$1)</f>
        <v/>
      </c>
      <c r="L67" t="str">
        <f>_xll.RssFOPMarket($E67,L$1)</f>
        <v/>
      </c>
      <c r="M67" t="str">
        <f>_xll.RssFOPMarket($E67,M$1)</f>
        <v/>
      </c>
      <c r="N67" t="str">
        <f>_xll.RssFOPMarket($E67,N$1)</f>
        <v/>
      </c>
      <c r="O67" t="str">
        <f>_xll.RssFOPMarket($E67,O$1)</f>
        <v/>
      </c>
      <c r="P67" t="str">
        <f>_xll.RssFOPMarket($E67,P$1)</f>
        <v/>
      </c>
      <c r="Q67" t="str">
        <f>_xll.RssFOPMarket($E67,Q$1)</f>
        <v/>
      </c>
    </row>
    <row r="68" spans="1:17" x14ac:dyDescent="0.4">
      <c r="A68" t="str">
        <f>A67</f>
        <v>N225MOP</v>
      </c>
      <c r="B68" t="str">
        <f>B67</f>
        <v>202310#3</v>
      </c>
      <c r="C68" t="str">
        <f>C67</f>
        <v>C</v>
      </c>
      <c r="D68">
        <f>D67-125</f>
        <v>28250</v>
      </c>
      <c r="E68" t="str">
        <f>_xll.RssFOPCode(A68,B68,IF(C68="C",1,IF(C68="P",2,"")),D68)</f>
        <v>マーケットスピード II にログインして「接続中」の状態に変更してから利用してください。</v>
      </c>
      <c r="F68" t="str">
        <f>_xll.RssFOPMarket($E68,F$1)</f>
        <v/>
      </c>
      <c r="G68" t="str">
        <f>_xll.RssFOPMarket($E68,G$1)</f>
        <v/>
      </c>
      <c r="H68" t="str">
        <f>_xll.RssFOPMarket($E68,H$1)</f>
        <v/>
      </c>
      <c r="I68" t="str">
        <f>_xll.RssFOPMarket($E68,I$1)</f>
        <v/>
      </c>
      <c r="J68" t="str">
        <f>_xll.RssFOPMarket($E68,J$1)</f>
        <v/>
      </c>
      <c r="K68" t="str">
        <f>_xll.RssFOPMarket($E68,K$1)</f>
        <v/>
      </c>
      <c r="L68" t="str">
        <f>_xll.RssFOPMarket($E68,L$1)</f>
        <v/>
      </c>
      <c r="M68" t="str">
        <f>_xll.RssFOPMarket($E68,M$1)</f>
        <v/>
      </c>
      <c r="N68" t="str">
        <f>_xll.RssFOPMarket($E68,N$1)</f>
        <v/>
      </c>
      <c r="O68" t="str">
        <f>_xll.RssFOPMarket($E68,O$1)</f>
        <v/>
      </c>
      <c r="P68" t="str">
        <f>_xll.RssFOPMarket($E68,P$1)</f>
        <v/>
      </c>
      <c r="Q68" t="str">
        <f>_xll.RssFOPMarket($E68,Q$1)</f>
        <v/>
      </c>
    </row>
    <row r="101" spans="1:17" x14ac:dyDescent="0.4">
      <c r="A101" t="s">
        <v>23</v>
      </c>
      <c r="B101" t="s">
        <v>24</v>
      </c>
      <c r="C101" t="s">
        <v>13</v>
      </c>
      <c r="D101" t="s">
        <v>25</v>
      </c>
      <c r="E101" t="s">
        <v>26</v>
      </c>
      <c r="F101" t="s">
        <v>27</v>
      </c>
      <c r="G101" t="s">
        <v>28</v>
      </c>
      <c r="H101" t="s">
        <v>29</v>
      </c>
      <c r="I101" t="s">
        <v>30</v>
      </c>
      <c r="J101" t="s">
        <v>31</v>
      </c>
      <c r="K101" t="s">
        <v>32</v>
      </c>
      <c r="L101" t="s">
        <v>33</v>
      </c>
      <c r="M101" t="s">
        <v>34</v>
      </c>
      <c r="N101" t="s">
        <v>35</v>
      </c>
      <c r="O101" t="s">
        <v>36</v>
      </c>
      <c r="P101" t="s">
        <v>37</v>
      </c>
      <c r="Q101" t="s">
        <v>38</v>
      </c>
    </row>
    <row r="102" spans="1:17" x14ac:dyDescent="0.4">
      <c r="A102" t="s">
        <v>14</v>
      </c>
      <c r="B102" t="s">
        <v>18</v>
      </c>
      <c r="C102" t="s">
        <v>16</v>
      </c>
      <c r="D102">
        <v>36500</v>
      </c>
      <c r="E102" t="s">
        <v>90</v>
      </c>
    </row>
    <row r="103" spans="1:17" x14ac:dyDescent="0.4">
      <c r="A103" t="s">
        <v>14</v>
      </c>
      <c r="B103" t="s">
        <v>18</v>
      </c>
      <c r="C103" t="s">
        <v>16</v>
      </c>
      <c r="D103">
        <v>36375</v>
      </c>
      <c r="E103" t="s">
        <v>90</v>
      </c>
    </row>
    <row r="104" spans="1:17" x14ac:dyDescent="0.4">
      <c r="A104" t="s">
        <v>14</v>
      </c>
      <c r="B104" t="s">
        <v>18</v>
      </c>
      <c r="C104" t="s">
        <v>16</v>
      </c>
      <c r="D104">
        <v>36250</v>
      </c>
      <c r="E104" t="s">
        <v>90</v>
      </c>
    </row>
    <row r="105" spans="1:17" x14ac:dyDescent="0.4">
      <c r="A105" t="s">
        <v>14</v>
      </c>
      <c r="B105" t="s">
        <v>18</v>
      </c>
      <c r="C105" t="s">
        <v>16</v>
      </c>
      <c r="D105">
        <v>36125</v>
      </c>
      <c r="E105" t="s">
        <v>90</v>
      </c>
    </row>
    <row r="106" spans="1:17" x14ac:dyDescent="0.4">
      <c r="A106" t="s">
        <v>14</v>
      </c>
      <c r="B106" t="s">
        <v>18</v>
      </c>
      <c r="C106" t="s">
        <v>16</v>
      </c>
      <c r="D106">
        <v>36000</v>
      </c>
      <c r="E106" t="s">
        <v>90</v>
      </c>
    </row>
    <row r="107" spans="1:17" x14ac:dyDescent="0.4">
      <c r="A107" t="s">
        <v>14</v>
      </c>
      <c r="B107" t="s">
        <v>18</v>
      </c>
      <c r="C107" t="s">
        <v>16</v>
      </c>
      <c r="D107">
        <v>35875</v>
      </c>
      <c r="E107" t="s">
        <v>90</v>
      </c>
    </row>
    <row r="108" spans="1:17" x14ac:dyDescent="0.4">
      <c r="A108" t="s">
        <v>14</v>
      </c>
      <c r="B108" t="s">
        <v>18</v>
      </c>
      <c r="C108" t="s">
        <v>16</v>
      </c>
      <c r="D108">
        <v>35750</v>
      </c>
      <c r="E108" t="s">
        <v>90</v>
      </c>
    </row>
    <row r="109" spans="1:17" x14ac:dyDescent="0.4">
      <c r="A109" t="s">
        <v>14</v>
      </c>
      <c r="B109" t="s">
        <v>18</v>
      </c>
      <c r="C109" t="s">
        <v>16</v>
      </c>
      <c r="D109">
        <v>35625</v>
      </c>
      <c r="E109" t="s">
        <v>90</v>
      </c>
    </row>
    <row r="110" spans="1:17" x14ac:dyDescent="0.4">
      <c r="A110" t="s">
        <v>14</v>
      </c>
      <c r="B110" t="s">
        <v>18</v>
      </c>
      <c r="C110" t="s">
        <v>16</v>
      </c>
      <c r="D110">
        <v>35500</v>
      </c>
      <c r="E110" t="s">
        <v>90</v>
      </c>
    </row>
    <row r="111" spans="1:17" x14ac:dyDescent="0.4">
      <c r="A111" t="s">
        <v>14</v>
      </c>
      <c r="B111" t="s">
        <v>18</v>
      </c>
      <c r="C111" t="s">
        <v>16</v>
      </c>
      <c r="D111">
        <v>35375</v>
      </c>
      <c r="E111" t="s">
        <v>90</v>
      </c>
    </row>
    <row r="112" spans="1:17" x14ac:dyDescent="0.4">
      <c r="A112" t="s">
        <v>14</v>
      </c>
      <c r="B112" t="s">
        <v>18</v>
      </c>
      <c r="C112" t="s">
        <v>16</v>
      </c>
      <c r="D112">
        <v>35250</v>
      </c>
      <c r="E112" t="s">
        <v>90</v>
      </c>
    </row>
    <row r="113" spans="1:5" x14ac:dyDescent="0.4">
      <c r="A113" t="s">
        <v>14</v>
      </c>
      <c r="B113" t="s">
        <v>18</v>
      </c>
      <c r="C113" t="s">
        <v>16</v>
      </c>
      <c r="D113">
        <v>35125</v>
      </c>
      <c r="E113" t="s">
        <v>90</v>
      </c>
    </row>
    <row r="114" spans="1:5" x14ac:dyDescent="0.4">
      <c r="A114" t="s">
        <v>14</v>
      </c>
      <c r="B114" t="s">
        <v>18</v>
      </c>
      <c r="C114" t="s">
        <v>16</v>
      </c>
      <c r="D114">
        <v>35000</v>
      </c>
      <c r="E114" t="s">
        <v>90</v>
      </c>
    </row>
    <row r="115" spans="1:5" x14ac:dyDescent="0.4">
      <c r="A115" t="s">
        <v>14</v>
      </c>
      <c r="B115" t="s">
        <v>18</v>
      </c>
      <c r="C115" t="s">
        <v>16</v>
      </c>
      <c r="D115">
        <v>34875</v>
      </c>
      <c r="E115" t="s">
        <v>90</v>
      </c>
    </row>
    <row r="116" spans="1:5" x14ac:dyDescent="0.4">
      <c r="A116" t="s">
        <v>14</v>
      </c>
      <c r="B116" t="s">
        <v>18</v>
      </c>
      <c r="C116" t="s">
        <v>16</v>
      </c>
      <c r="D116">
        <v>34750</v>
      </c>
      <c r="E116" t="s">
        <v>90</v>
      </c>
    </row>
    <row r="117" spans="1:5" x14ac:dyDescent="0.4">
      <c r="A117" t="s">
        <v>14</v>
      </c>
      <c r="B117" t="s">
        <v>18</v>
      </c>
      <c r="C117" t="s">
        <v>16</v>
      </c>
      <c r="D117">
        <v>34625</v>
      </c>
      <c r="E117" t="s">
        <v>90</v>
      </c>
    </row>
    <row r="118" spans="1:5" x14ac:dyDescent="0.4">
      <c r="A118" t="s">
        <v>14</v>
      </c>
      <c r="B118" t="s">
        <v>18</v>
      </c>
      <c r="C118" t="s">
        <v>16</v>
      </c>
      <c r="D118">
        <v>34500</v>
      </c>
      <c r="E118" t="s">
        <v>90</v>
      </c>
    </row>
    <row r="119" spans="1:5" x14ac:dyDescent="0.4">
      <c r="A119" t="s">
        <v>14</v>
      </c>
      <c r="B119" t="s">
        <v>18</v>
      </c>
      <c r="C119" t="s">
        <v>16</v>
      </c>
      <c r="D119">
        <v>34375</v>
      </c>
      <c r="E119" t="s">
        <v>90</v>
      </c>
    </row>
    <row r="120" spans="1:5" x14ac:dyDescent="0.4">
      <c r="A120" t="s">
        <v>14</v>
      </c>
      <c r="B120" t="s">
        <v>18</v>
      </c>
      <c r="C120" t="s">
        <v>16</v>
      </c>
      <c r="D120">
        <v>34250</v>
      </c>
      <c r="E120" t="s">
        <v>90</v>
      </c>
    </row>
    <row r="121" spans="1:5" x14ac:dyDescent="0.4">
      <c r="A121" t="s">
        <v>14</v>
      </c>
      <c r="B121" t="s">
        <v>18</v>
      </c>
      <c r="C121" t="s">
        <v>16</v>
      </c>
      <c r="D121">
        <v>34125</v>
      </c>
      <c r="E121" t="s">
        <v>90</v>
      </c>
    </row>
    <row r="122" spans="1:5" x14ac:dyDescent="0.4">
      <c r="A122" t="s">
        <v>14</v>
      </c>
      <c r="B122" t="s">
        <v>18</v>
      </c>
      <c r="C122" t="s">
        <v>16</v>
      </c>
      <c r="D122">
        <v>34000</v>
      </c>
      <c r="E122" t="s">
        <v>90</v>
      </c>
    </row>
    <row r="123" spans="1:5" x14ac:dyDescent="0.4">
      <c r="A123" t="s">
        <v>14</v>
      </c>
      <c r="B123" t="s">
        <v>18</v>
      </c>
      <c r="C123" t="s">
        <v>16</v>
      </c>
      <c r="D123">
        <v>33875</v>
      </c>
      <c r="E123" t="s">
        <v>90</v>
      </c>
    </row>
    <row r="124" spans="1:5" x14ac:dyDescent="0.4">
      <c r="A124" t="s">
        <v>14</v>
      </c>
      <c r="B124" t="s">
        <v>18</v>
      </c>
      <c r="C124" t="s">
        <v>16</v>
      </c>
      <c r="D124">
        <v>33750</v>
      </c>
      <c r="E124" t="s">
        <v>90</v>
      </c>
    </row>
    <row r="125" spans="1:5" x14ac:dyDescent="0.4">
      <c r="A125" t="s">
        <v>14</v>
      </c>
      <c r="B125" t="s">
        <v>18</v>
      </c>
      <c r="C125" t="s">
        <v>16</v>
      </c>
      <c r="D125">
        <v>33625</v>
      </c>
      <c r="E125" t="s">
        <v>90</v>
      </c>
    </row>
    <row r="126" spans="1:5" x14ac:dyDescent="0.4">
      <c r="A126" t="s">
        <v>14</v>
      </c>
      <c r="B126" t="s">
        <v>18</v>
      </c>
      <c r="C126" t="s">
        <v>16</v>
      </c>
      <c r="D126">
        <v>33500</v>
      </c>
      <c r="E126" t="s">
        <v>90</v>
      </c>
    </row>
    <row r="127" spans="1:5" x14ac:dyDescent="0.4">
      <c r="A127" t="s">
        <v>14</v>
      </c>
      <c r="B127" t="s">
        <v>18</v>
      </c>
      <c r="C127" t="s">
        <v>16</v>
      </c>
      <c r="D127">
        <v>33375</v>
      </c>
      <c r="E127" t="s">
        <v>90</v>
      </c>
    </row>
    <row r="128" spans="1:5" x14ac:dyDescent="0.4">
      <c r="A128" t="s">
        <v>14</v>
      </c>
      <c r="B128" t="s">
        <v>18</v>
      </c>
      <c r="C128" t="s">
        <v>16</v>
      </c>
      <c r="D128">
        <v>33250</v>
      </c>
      <c r="E128" t="s">
        <v>90</v>
      </c>
    </row>
    <row r="129" spans="1:6" x14ac:dyDescent="0.4">
      <c r="A129" t="s">
        <v>14</v>
      </c>
      <c r="B129" t="s">
        <v>18</v>
      </c>
      <c r="C129" t="s">
        <v>16</v>
      </c>
      <c r="D129">
        <v>33125</v>
      </c>
      <c r="E129" t="s">
        <v>90</v>
      </c>
    </row>
    <row r="130" spans="1:6" x14ac:dyDescent="0.4">
      <c r="A130" t="s">
        <v>14</v>
      </c>
      <c r="B130" t="s">
        <v>18</v>
      </c>
      <c r="C130" t="s">
        <v>16</v>
      </c>
      <c r="D130">
        <v>33000</v>
      </c>
      <c r="E130" t="s">
        <v>90</v>
      </c>
    </row>
    <row r="131" spans="1:6" x14ac:dyDescent="0.4">
      <c r="A131" t="s">
        <v>14</v>
      </c>
      <c r="B131" t="s">
        <v>18</v>
      </c>
      <c r="C131" t="s">
        <v>16</v>
      </c>
      <c r="D131">
        <v>32875</v>
      </c>
      <c r="E131" t="s">
        <v>90</v>
      </c>
    </row>
    <row r="132" spans="1:6" x14ac:dyDescent="0.4">
      <c r="A132" t="s">
        <v>14</v>
      </c>
      <c r="B132" t="s">
        <v>18</v>
      </c>
      <c r="C132" t="s">
        <v>16</v>
      </c>
      <c r="D132">
        <v>32750</v>
      </c>
      <c r="E132" t="s">
        <v>90</v>
      </c>
    </row>
    <row r="133" spans="1:6" x14ac:dyDescent="0.4">
      <c r="A133" t="s">
        <v>14</v>
      </c>
      <c r="B133" t="s">
        <v>18</v>
      </c>
      <c r="C133" t="s">
        <v>16</v>
      </c>
      <c r="D133">
        <v>32625</v>
      </c>
      <c r="E133" t="s">
        <v>90</v>
      </c>
    </row>
    <row r="134" spans="1:6" x14ac:dyDescent="0.4">
      <c r="A134" t="s">
        <v>14</v>
      </c>
      <c r="B134" t="s">
        <v>18</v>
      </c>
      <c r="C134" t="s">
        <v>16</v>
      </c>
      <c r="D134">
        <v>32500</v>
      </c>
      <c r="E134" t="s">
        <v>90</v>
      </c>
    </row>
    <row r="135" spans="1:6" x14ac:dyDescent="0.4">
      <c r="A135" t="s">
        <v>14</v>
      </c>
      <c r="B135" t="s">
        <v>18</v>
      </c>
      <c r="C135" t="s">
        <v>16</v>
      </c>
      <c r="D135">
        <v>32375</v>
      </c>
      <c r="E135" t="s">
        <v>90</v>
      </c>
    </row>
    <row r="136" spans="1:6" x14ac:dyDescent="0.4">
      <c r="A136" t="s">
        <v>14</v>
      </c>
      <c r="B136" t="s">
        <v>18</v>
      </c>
      <c r="C136" t="s">
        <v>16</v>
      </c>
      <c r="D136">
        <v>32250</v>
      </c>
      <c r="E136" t="s">
        <v>90</v>
      </c>
    </row>
    <row r="137" spans="1:6" x14ac:dyDescent="0.4">
      <c r="A137" t="s">
        <v>14</v>
      </c>
      <c r="B137" t="s">
        <v>18</v>
      </c>
      <c r="C137" t="s">
        <v>16</v>
      </c>
      <c r="D137">
        <v>32125</v>
      </c>
      <c r="E137" t="s">
        <v>90</v>
      </c>
    </row>
    <row r="138" spans="1:6" x14ac:dyDescent="0.4">
      <c r="A138" t="s">
        <v>14</v>
      </c>
      <c r="B138" t="s">
        <v>18</v>
      </c>
      <c r="C138" t="s">
        <v>15</v>
      </c>
      <c r="D138">
        <v>32000</v>
      </c>
      <c r="E138" t="s">
        <v>90</v>
      </c>
      <c r="F138" s="2"/>
    </row>
    <row r="139" spans="1:6" x14ac:dyDescent="0.4">
      <c r="A139" t="s">
        <v>14</v>
      </c>
      <c r="B139" t="s">
        <v>18</v>
      </c>
      <c r="C139" t="s">
        <v>15</v>
      </c>
      <c r="D139">
        <v>31875</v>
      </c>
      <c r="E139" t="s">
        <v>90</v>
      </c>
      <c r="F139" s="2"/>
    </row>
    <row r="140" spans="1:6" x14ac:dyDescent="0.4">
      <c r="A140" t="s">
        <v>14</v>
      </c>
      <c r="B140" t="s">
        <v>18</v>
      </c>
      <c r="C140" t="s">
        <v>15</v>
      </c>
      <c r="D140">
        <v>31750</v>
      </c>
      <c r="E140" t="s">
        <v>90</v>
      </c>
      <c r="F140" s="2"/>
    </row>
    <row r="141" spans="1:6" x14ac:dyDescent="0.4">
      <c r="A141" t="s">
        <v>14</v>
      </c>
      <c r="B141" t="s">
        <v>18</v>
      </c>
      <c r="C141" t="s">
        <v>15</v>
      </c>
      <c r="D141">
        <v>31625</v>
      </c>
      <c r="E141" t="s">
        <v>90</v>
      </c>
      <c r="F141" s="2"/>
    </row>
    <row r="142" spans="1:6" x14ac:dyDescent="0.4">
      <c r="A142" t="s">
        <v>14</v>
      </c>
      <c r="B142" t="s">
        <v>18</v>
      </c>
      <c r="C142" t="s">
        <v>15</v>
      </c>
      <c r="D142">
        <v>31500</v>
      </c>
      <c r="E142" t="s">
        <v>90</v>
      </c>
      <c r="F142" s="2"/>
    </row>
    <row r="143" spans="1:6" x14ac:dyDescent="0.4">
      <c r="A143" t="s">
        <v>14</v>
      </c>
      <c r="B143" t="s">
        <v>18</v>
      </c>
      <c r="C143" t="s">
        <v>15</v>
      </c>
      <c r="D143">
        <v>31375</v>
      </c>
      <c r="E143" t="s">
        <v>90</v>
      </c>
    </row>
    <row r="144" spans="1:6" x14ac:dyDescent="0.4">
      <c r="A144" t="s">
        <v>14</v>
      </c>
      <c r="B144" t="s">
        <v>18</v>
      </c>
      <c r="C144" t="s">
        <v>15</v>
      </c>
      <c r="D144">
        <v>31250</v>
      </c>
      <c r="E144" t="s">
        <v>90</v>
      </c>
    </row>
    <row r="145" spans="1:5" x14ac:dyDescent="0.4">
      <c r="A145" t="s">
        <v>14</v>
      </c>
      <c r="B145" t="s">
        <v>18</v>
      </c>
      <c r="C145" t="s">
        <v>15</v>
      </c>
      <c r="D145">
        <v>31125</v>
      </c>
      <c r="E145" t="s">
        <v>90</v>
      </c>
    </row>
    <row r="146" spans="1:5" x14ac:dyDescent="0.4">
      <c r="A146" t="s">
        <v>14</v>
      </c>
      <c r="B146" t="s">
        <v>18</v>
      </c>
      <c r="C146" t="s">
        <v>15</v>
      </c>
      <c r="D146">
        <v>31000</v>
      </c>
      <c r="E146" t="s">
        <v>90</v>
      </c>
    </row>
    <row r="147" spans="1:5" x14ac:dyDescent="0.4">
      <c r="A147" t="s">
        <v>14</v>
      </c>
      <c r="B147" t="s">
        <v>18</v>
      </c>
      <c r="C147" t="s">
        <v>15</v>
      </c>
      <c r="D147">
        <v>30875</v>
      </c>
      <c r="E147" t="s">
        <v>90</v>
      </c>
    </row>
    <row r="148" spans="1:5" x14ac:dyDescent="0.4">
      <c r="A148" t="s">
        <v>14</v>
      </c>
      <c r="B148" t="s">
        <v>18</v>
      </c>
      <c r="C148" t="s">
        <v>15</v>
      </c>
      <c r="D148">
        <v>30750</v>
      </c>
      <c r="E148" t="s">
        <v>90</v>
      </c>
    </row>
    <row r="149" spans="1:5" x14ac:dyDescent="0.4">
      <c r="A149" t="s">
        <v>14</v>
      </c>
      <c r="B149" t="s">
        <v>18</v>
      </c>
      <c r="C149" t="s">
        <v>15</v>
      </c>
      <c r="D149">
        <v>30625</v>
      </c>
      <c r="E149" t="s">
        <v>90</v>
      </c>
    </row>
    <row r="150" spans="1:5" x14ac:dyDescent="0.4">
      <c r="A150" t="s">
        <v>14</v>
      </c>
      <c r="B150" t="s">
        <v>18</v>
      </c>
      <c r="C150" t="s">
        <v>15</v>
      </c>
      <c r="D150">
        <v>30500</v>
      </c>
      <c r="E150" t="s">
        <v>90</v>
      </c>
    </row>
    <row r="151" spans="1:5" x14ac:dyDescent="0.4">
      <c r="A151" t="s">
        <v>14</v>
      </c>
      <c r="B151" t="s">
        <v>18</v>
      </c>
      <c r="C151" t="s">
        <v>15</v>
      </c>
      <c r="D151">
        <v>30375</v>
      </c>
      <c r="E151" t="s">
        <v>90</v>
      </c>
    </row>
    <row r="152" spans="1:5" x14ac:dyDescent="0.4">
      <c r="A152" t="s">
        <v>14</v>
      </c>
      <c r="B152" t="s">
        <v>18</v>
      </c>
      <c r="C152" t="s">
        <v>15</v>
      </c>
      <c r="D152">
        <v>30250</v>
      </c>
      <c r="E152" t="s">
        <v>90</v>
      </c>
    </row>
    <row r="153" spans="1:5" x14ac:dyDescent="0.4">
      <c r="A153" t="s">
        <v>14</v>
      </c>
      <c r="B153" t="s">
        <v>18</v>
      </c>
      <c r="C153" t="s">
        <v>15</v>
      </c>
      <c r="D153">
        <v>30125</v>
      </c>
      <c r="E153" t="s">
        <v>90</v>
      </c>
    </row>
    <row r="154" spans="1:5" x14ac:dyDescent="0.4">
      <c r="A154" t="s">
        <v>14</v>
      </c>
      <c r="B154" t="s">
        <v>18</v>
      </c>
      <c r="C154" t="s">
        <v>15</v>
      </c>
      <c r="D154">
        <v>30000</v>
      </c>
      <c r="E154" t="s">
        <v>90</v>
      </c>
    </row>
    <row r="155" spans="1:5" x14ac:dyDescent="0.4">
      <c r="A155" t="s">
        <v>14</v>
      </c>
      <c r="B155" t="s">
        <v>18</v>
      </c>
      <c r="C155" t="s">
        <v>15</v>
      </c>
      <c r="D155">
        <v>29875</v>
      </c>
      <c r="E155" t="s">
        <v>90</v>
      </c>
    </row>
    <row r="156" spans="1:5" x14ac:dyDescent="0.4">
      <c r="A156" t="s">
        <v>14</v>
      </c>
      <c r="B156" t="s">
        <v>18</v>
      </c>
      <c r="C156" t="s">
        <v>15</v>
      </c>
      <c r="D156">
        <v>29750</v>
      </c>
      <c r="E156" t="s">
        <v>90</v>
      </c>
    </row>
    <row r="157" spans="1:5" x14ac:dyDescent="0.4">
      <c r="A157" t="s">
        <v>14</v>
      </c>
      <c r="B157" t="s">
        <v>18</v>
      </c>
      <c r="C157" t="s">
        <v>15</v>
      </c>
      <c r="D157">
        <v>29625</v>
      </c>
      <c r="E157" t="s">
        <v>90</v>
      </c>
    </row>
    <row r="158" spans="1:5" x14ac:dyDescent="0.4">
      <c r="A158" t="s">
        <v>14</v>
      </c>
      <c r="B158" t="s">
        <v>18</v>
      </c>
      <c r="C158" t="s">
        <v>15</v>
      </c>
      <c r="D158">
        <v>29500</v>
      </c>
      <c r="E158" t="s">
        <v>90</v>
      </c>
    </row>
    <row r="159" spans="1:5" x14ac:dyDescent="0.4">
      <c r="A159" t="s">
        <v>14</v>
      </c>
      <c r="B159" t="s">
        <v>18</v>
      </c>
      <c r="C159" t="s">
        <v>15</v>
      </c>
      <c r="D159">
        <v>29375</v>
      </c>
      <c r="E159" t="s">
        <v>90</v>
      </c>
    </row>
    <row r="160" spans="1:5" x14ac:dyDescent="0.4">
      <c r="A160" t="s">
        <v>14</v>
      </c>
      <c r="B160" t="s">
        <v>18</v>
      </c>
      <c r="C160" t="s">
        <v>15</v>
      </c>
      <c r="D160">
        <v>29250</v>
      </c>
      <c r="E160" t="s">
        <v>90</v>
      </c>
    </row>
    <row r="161" spans="1:5" x14ac:dyDescent="0.4">
      <c r="A161" t="s">
        <v>14</v>
      </c>
      <c r="B161" t="s">
        <v>18</v>
      </c>
      <c r="C161" t="s">
        <v>15</v>
      </c>
      <c r="D161">
        <v>29125</v>
      </c>
      <c r="E161" t="s">
        <v>90</v>
      </c>
    </row>
    <row r="162" spans="1:5" x14ac:dyDescent="0.4">
      <c r="A162" t="s">
        <v>14</v>
      </c>
      <c r="B162" t="s">
        <v>18</v>
      </c>
      <c r="C162" t="s">
        <v>15</v>
      </c>
      <c r="D162">
        <v>29000</v>
      </c>
      <c r="E162" t="s">
        <v>90</v>
      </c>
    </row>
    <row r="163" spans="1:5" x14ac:dyDescent="0.4">
      <c r="A163" t="s">
        <v>14</v>
      </c>
      <c r="B163" t="s">
        <v>18</v>
      </c>
      <c r="C163" t="s">
        <v>15</v>
      </c>
      <c r="D163">
        <v>28875</v>
      </c>
      <c r="E163" t="s">
        <v>90</v>
      </c>
    </row>
    <row r="164" spans="1:5" x14ac:dyDescent="0.4">
      <c r="A164" t="s">
        <v>14</v>
      </c>
      <c r="B164" t="s">
        <v>18</v>
      </c>
      <c r="C164" t="s">
        <v>15</v>
      </c>
      <c r="D164">
        <v>28750</v>
      </c>
      <c r="E164" t="s">
        <v>90</v>
      </c>
    </row>
    <row r="165" spans="1:5" x14ac:dyDescent="0.4">
      <c r="A165" t="s">
        <v>14</v>
      </c>
      <c r="B165" t="s">
        <v>18</v>
      </c>
      <c r="C165" t="s">
        <v>15</v>
      </c>
      <c r="D165">
        <v>28625</v>
      </c>
      <c r="E165" t="s">
        <v>90</v>
      </c>
    </row>
    <row r="166" spans="1:5" x14ac:dyDescent="0.4">
      <c r="A166" t="s">
        <v>14</v>
      </c>
      <c r="B166" t="s">
        <v>18</v>
      </c>
      <c r="C166" t="s">
        <v>15</v>
      </c>
      <c r="D166">
        <v>28500</v>
      </c>
      <c r="E166" t="s">
        <v>90</v>
      </c>
    </row>
    <row r="167" spans="1:5" x14ac:dyDescent="0.4">
      <c r="A167" t="s">
        <v>14</v>
      </c>
      <c r="B167" t="s">
        <v>18</v>
      </c>
      <c r="C167" t="s">
        <v>15</v>
      </c>
      <c r="D167">
        <v>28375</v>
      </c>
      <c r="E167" t="s">
        <v>90</v>
      </c>
    </row>
    <row r="168" spans="1:5" x14ac:dyDescent="0.4">
      <c r="A168" t="s">
        <v>14</v>
      </c>
      <c r="B168" t="s">
        <v>18</v>
      </c>
      <c r="C168" t="s">
        <v>15</v>
      </c>
      <c r="D168">
        <v>28250</v>
      </c>
      <c r="E168" t="s">
        <v>90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D6D6F-F4D4-4DE8-BE61-EBD718DC8D0F}">
  <sheetPr codeName="Sheet7"/>
  <dimension ref="A1:Q168"/>
  <sheetViews>
    <sheetView workbookViewId="0">
      <pane ySplit="1" topLeftCell="A98" activePane="bottomLeft" state="frozen"/>
      <selection activeCell="B1" sqref="B1"/>
      <selection pane="bottomLeft" activeCell="Q1" sqref="Q1"/>
    </sheetView>
  </sheetViews>
  <sheetFormatPr defaultRowHeight="18.75" x14ac:dyDescent="0.4"/>
  <cols>
    <col min="1" max="1" width="10.25" bestFit="1" customWidth="1"/>
    <col min="2" max="2" width="9.625" bestFit="1" customWidth="1"/>
    <col min="3" max="3" width="4.875" bestFit="1" customWidth="1"/>
    <col min="4" max="4" width="9" bestFit="1" customWidth="1"/>
    <col min="5" max="5" width="11" bestFit="1" customWidth="1"/>
  </cols>
  <sheetData>
    <row r="1" spans="1:17" x14ac:dyDescent="0.4">
      <c r="A1" t="s">
        <v>11</v>
      </c>
      <c r="B1" t="s">
        <v>12</v>
      </c>
      <c r="C1" t="s">
        <v>13</v>
      </c>
      <c r="D1" t="s">
        <v>0</v>
      </c>
      <c r="E1" t="s">
        <v>17</v>
      </c>
      <c r="F1" t="s">
        <v>2</v>
      </c>
      <c r="G1" t="s">
        <v>1</v>
      </c>
      <c r="H1" s="1" t="s">
        <v>21</v>
      </c>
      <c r="I1" t="s">
        <v>9</v>
      </c>
      <c r="J1" t="s">
        <v>10</v>
      </c>
      <c r="K1" t="s">
        <v>3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s="1" t="s">
        <v>22</v>
      </c>
    </row>
    <row r="2" spans="1:17" x14ac:dyDescent="0.4">
      <c r="A2" t="s">
        <v>14</v>
      </c>
      <c r="B2" t="s">
        <v>19</v>
      </c>
      <c r="C2" t="s">
        <v>15</v>
      </c>
      <c r="D2">
        <v>36500</v>
      </c>
      <c r="E2" t="str">
        <f>_xll.RssFOPCode(A2,B2,IF(C2="C",1,IF(C2="P",2,"")),D2)</f>
        <v>マーケットスピード II にログインして「接続中」の状態に変更してから利用してください。</v>
      </c>
      <c r="F2" t="str">
        <f>_xll.RssFOPMarket($E2,F$1)</f>
        <v/>
      </c>
      <c r="G2" t="str">
        <f>_xll.RssFOPMarket($E2,G$1)</f>
        <v/>
      </c>
      <c r="H2" t="str">
        <f>_xll.RssFOPMarket($E2,H$1)</f>
        <v/>
      </c>
      <c r="I2" t="str">
        <f>_xll.RssFOPMarket($E2,I$1)</f>
        <v/>
      </c>
      <c r="J2" t="str">
        <f>_xll.RssFOPMarket($E2,J$1)</f>
        <v/>
      </c>
      <c r="K2" t="str">
        <f>_xll.RssFOPMarket($E2,K$1)</f>
        <v/>
      </c>
      <c r="L2" t="str">
        <f>_xll.RssFOPMarket($E2,L$1)</f>
        <v/>
      </c>
      <c r="M2" t="str">
        <f>_xll.RssFOPMarket($E2,M$1)</f>
        <v/>
      </c>
      <c r="N2" t="str">
        <f>_xll.RssFOPMarket($E2,N$1)</f>
        <v/>
      </c>
      <c r="O2" t="str">
        <f>_xll.RssFOPMarket($E2,O$1)</f>
        <v/>
      </c>
      <c r="P2" t="str">
        <f>_xll.RssFOPMarket($E2,P$1)</f>
        <v/>
      </c>
      <c r="Q2" t="str">
        <f>_xll.RssFOPMarket($E2,Q$1)</f>
        <v/>
      </c>
    </row>
    <row r="3" spans="1:17" x14ac:dyDescent="0.4">
      <c r="A3" t="str">
        <f>A2</f>
        <v>N225MOP</v>
      </c>
      <c r="B3" t="str">
        <f>B2</f>
        <v>202310#4</v>
      </c>
      <c r="C3" t="str">
        <f>C2</f>
        <v>C</v>
      </c>
      <c r="D3">
        <f>D2-125</f>
        <v>36375</v>
      </c>
      <c r="E3" t="str">
        <f>_xll.RssFOPCode(A3,B3,IF(C3="C",1,IF(C3="P",2,"")),D3)</f>
        <v>マーケットスピード II にログインして「接続中」の状態に変更してから利用してください。</v>
      </c>
      <c r="F3" t="str">
        <f>_xll.RssFOPMarket($E3,F$1)</f>
        <v/>
      </c>
      <c r="G3" t="str">
        <f>_xll.RssFOPMarket($E3,G$1)</f>
        <v/>
      </c>
      <c r="H3" t="str">
        <f>_xll.RssFOPMarket($E3,H$1)</f>
        <v/>
      </c>
      <c r="I3" t="str">
        <f>_xll.RssFOPMarket($E3,I$1)</f>
        <v/>
      </c>
      <c r="J3" t="str">
        <f>_xll.RssFOPMarket($E3,J$1)</f>
        <v/>
      </c>
      <c r="K3" t="str">
        <f>_xll.RssFOPMarket($E3,K$1)</f>
        <v/>
      </c>
      <c r="L3" t="str">
        <f>_xll.RssFOPMarket($E3,L$1)</f>
        <v/>
      </c>
      <c r="M3" t="str">
        <f>_xll.RssFOPMarket($E3,M$1)</f>
        <v/>
      </c>
      <c r="N3" t="str">
        <f>_xll.RssFOPMarket($E3,N$1)</f>
        <v/>
      </c>
      <c r="O3" t="str">
        <f>_xll.RssFOPMarket($E3,O$1)</f>
        <v/>
      </c>
      <c r="P3" t="str">
        <f>_xll.RssFOPMarket($E3,P$1)</f>
        <v/>
      </c>
      <c r="Q3" t="str">
        <f>_xll.RssFOPMarket($E3,Q$1)</f>
        <v/>
      </c>
    </row>
    <row r="4" spans="1:17" x14ac:dyDescent="0.4">
      <c r="A4" t="str">
        <f t="shared" ref="A4:C67" si="0">A3</f>
        <v>N225MOP</v>
      </c>
      <c r="B4" t="str">
        <f t="shared" si="0"/>
        <v>202310#4</v>
      </c>
      <c r="C4" t="str">
        <f t="shared" si="0"/>
        <v>C</v>
      </c>
      <c r="D4">
        <f t="shared" ref="D4:D67" si="1">D3-125</f>
        <v>36250</v>
      </c>
      <c r="E4" t="str">
        <f>_xll.RssFOPCode(A4,B4,IF(C4="C",1,IF(C4="P",2,"")),D4)</f>
        <v>マーケットスピード II にログインして「接続中」の状態に変更してから利用してください。</v>
      </c>
      <c r="F4" t="str">
        <f>_xll.RssFOPMarket($E4,F$1)</f>
        <v/>
      </c>
      <c r="G4" t="str">
        <f>_xll.RssFOPMarket($E4,G$1)</f>
        <v/>
      </c>
      <c r="H4" t="str">
        <f>_xll.RssFOPMarket($E4,H$1)</f>
        <v/>
      </c>
      <c r="I4" t="str">
        <f>_xll.RssFOPMarket($E4,I$1)</f>
        <v/>
      </c>
      <c r="J4" t="str">
        <f>_xll.RssFOPMarket($E4,J$1)</f>
        <v/>
      </c>
      <c r="K4" t="str">
        <f>_xll.RssFOPMarket($E4,K$1)</f>
        <v/>
      </c>
      <c r="L4" t="str">
        <f>_xll.RssFOPMarket($E4,L$1)</f>
        <v/>
      </c>
      <c r="M4" t="str">
        <f>_xll.RssFOPMarket($E4,M$1)</f>
        <v/>
      </c>
      <c r="N4" t="str">
        <f>_xll.RssFOPMarket($E4,N$1)</f>
        <v/>
      </c>
      <c r="O4" t="str">
        <f>_xll.RssFOPMarket($E4,O$1)</f>
        <v/>
      </c>
      <c r="P4" t="str">
        <f>_xll.RssFOPMarket($E4,P$1)</f>
        <v/>
      </c>
      <c r="Q4" t="str">
        <f>_xll.RssFOPMarket($E4,Q$1)</f>
        <v/>
      </c>
    </row>
    <row r="5" spans="1:17" x14ac:dyDescent="0.4">
      <c r="A5" t="str">
        <f t="shared" si="0"/>
        <v>N225MOP</v>
      </c>
      <c r="B5" t="str">
        <f t="shared" si="0"/>
        <v>202310#4</v>
      </c>
      <c r="C5" t="str">
        <f t="shared" si="0"/>
        <v>C</v>
      </c>
      <c r="D5">
        <f t="shared" si="1"/>
        <v>36125</v>
      </c>
      <c r="E5" t="str">
        <f>_xll.RssFOPCode(A5,B5,IF(C5="C",1,IF(C5="P",2,"")),D5)</f>
        <v>マーケットスピード II にログインして「接続中」の状態に変更してから利用してください。</v>
      </c>
      <c r="F5" t="str">
        <f>_xll.RssFOPMarket($E5,F$1)</f>
        <v/>
      </c>
      <c r="G5" t="str">
        <f>_xll.RssFOPMarket($E5,G$1)</f>
        <v/>
      </c>
      <c r="H5" t="str">
        <f>_xll.RssFOPMarket($E5,H$1)</f>
        <v/>
      </c>
      <c r="I5" t="str">
        <f>_xll.RssFOPMarket($E5,I$1)</f>
        <v/>
      </c>
      <c r="J5" t="str">
        <f>_xll.RssFOPMarket($E5,J$1)</f>
        <v/>
      </c>
      <c r="K5" t="str">
        <f>_xll.RssFOPMarket($E5,K$1)</f>
        <v/>
      </c>
      <c r="L5" t="str">
        <f>_xll.RssFOPMarket($E5,L$1)</f>
        <v/>
      </c>
      <c r="M5" t="str">
        <f>_xll.RssFOPMarket($E5,M$1)</f>
        <v/>
      </c>
      <c r="N5" t="str">
        <f>_xll.RssFOPMarket($E5,N$1)</f>
        <v/>
      </c>
      <c r="O5" t="str">
        <f>_xll.RssFOPMarket($E5,O$1)</f>
        <v/>
      </c>
      <c r="P5" t="str">
        <f>_xll.RssFOPMarket($E5,P$1)</f>
        <v/>
      </c>
      <c r="Q5" t="str">
        <f>_xll.RssFOPMarket($E5,Q$1)</f>
        <v/>
      </c>
    </row>
    <row r="6" spans="1:17" x14ac:dyDescent="0.4">
      <c r="A6" t="str">
        <f t="shared" si="0"/>
        <v>N225MOP</v>
      </c>
      <c r="B6" t="str">
        <f t="shared" si="0"/>
        <v>202310#4</v>
      </c>
      <c r="C6" t="str">
        <f t="shared" si="0"/>
        <v>C</v>
      </c>
      <c r="D6">
        <f t="shared" si="1"/>
        <v>36000</v>
      </c>
      <c r="E6" t="str">
        <f>_xll.RssFOPCode(A6,B6,IF(C6="C",1,IF(C6="P",2,"")),D6)</f>
        <v>マーケットスピード II にログインして「接続中」の状態に変更してから利用してください。</v>
      </c>
      <c r="F6" t="str">
        <f>_xll.RssFOPMarket($E6,F$1)</f>
        <v/>
      </c>
      <c r="G6" t="str">
        <f>_xll.RssFOPMarket($E6,G$1)</f>
        <v/>
      </c>
      <c r="H6" t="str">
        <f>_xll.RssFOPMarket($E6,H$1)</f>
        <v/>
      </c>
      <c r="I6" t="str">
        <f>_xll.RssFOPMarket($E6,I$1)</f>
        <v/>
      </c>
      <c r="J6" t="str">
        <f>_xll.RssFOPMarket($E6,J$1)</f>
        <v/>
      </c>
      <c r="K6" t="str">
        <f>_xll.RssFOPMarket($E6,K$1)</f>
        <v/>
      </c>
      <c r="L6" t="str">
        <f>_xll.RssFOPMarket($E6,L$1)</f>
        <v/>
      </c>
      <c r="M6" t="str">
        <f>_xll.RssFOPMarket($E6,M$1)</f>
        <v/>
      </c>
      <c r="N6" t="str">
        <f>_xll.RssFOPMarket($E6,N$1)</f>
        <v/>
      </c>
      <c r="O6" t="str">
        <f>_xll.RssFOPMarket($E6,O$1)</f>
        <v/>
      </c>
      <c r="P6" t="str">
        <f>_xll.RssFOPMarket($E6,P$1)</f>
        <v/>
      </c>
      <c r="Q6" t="str">
        <f>_xll.RssFOPMarket($E6,Q$1)</f>
        <v/>
      </c>
    </row>
    <row r="7" spans="1:17" x14ac:dyDescent="0.4">
      <c r="A7" t="str">
        <f t="shared" si="0"/>
        <v>N225MOP</v>
      </c>
      <c r="B7" t="str">
        <f t="shared" si="0"/>
        <v>202310#4</v>
      </c>
      <c r="C7" t="str">
        <f t="shared" si="0"/>
        <v>C</v>
      </c>
      <c r="D7">
        <f t="shared" si="1"/>
        <v>35875</v>
      </c>
      <c r="E7" t="str">
        <f>_xll.RssFOPCode(A7,B7,IF(C7="C",1,IF(C7="P",2,"")),D7)</f>
        <v>マーケットスピード II にログインして「接続中」の状態に変更してから利用してください。</v>
      </c>
      <c r="F7" t="str">
        <f>_xll.RssFOPMarket($E7,F$1)</f>
        <v/>
      </c>
      <c r="G7" t="str">
        <f>_xll.RssFOPMarket($E7,G$1)</f>
        <v/>
      </c>
      <c r="H7" t="str">
        <f>_xll.RssFOPMarket($E7,H$1)</f>
        <v/>
      </c>
      <c r="I7" t="str">
        <f>_xll.RssFOPMarket($E7,I$1)</f>
        <v/>
      </c>
      <c r="J7" t="str">
        <f>_xll.RssFOPMarket($E7,J$1)</f>
        <v/>
      </c>
      <c r="K7" t="str">
        <f>_xll.RssFOPMarket($E7,K$1)</f>
        <v/>
      </c>
      <c r="L7" t="str">
        <f>_xll.RssFOPMarket($E7,L$1)</f>
        <v/>
      </c>
      <c r="M7" t="str">
        <f>_xll.RssFOPMarket($E7,M$1)</f>
        <v/>
      </c>
      <c r="N7" t="str">
        <f>_xll.RssFOPMarket($E7,N$1)</f>
        <v/>
      </c>
      <c r="O7" t="str">
        <f>_xll.RssFOPMarket($E7,O$1)</f>
        <v/>
      </c>
      <c r="P7" t="str">
        <f>_xll.RssFOPMarket($E7,P$1)</f>
        <v/>
      </c>
      <c r="Q7" t="str">
        <f>_xll.RssFOPMarket($E7,Q$1)</f>
        <v/>
      </c>
    </row>
    <row r="8" spans="1:17" x14ac:dyDescent="0.4">
      <c r="A8" t="str">
        <f t="shared" si="0"/>
        <v>N225MOP</v>
      </c>
      <c r="B8" t="str">
        <f t="shared" si="0"/>
        <v>202310#4</v>
      </c>
      <c r="C8" t="str">
        <f t="shared" si="0"/>
        <v>C</v>
      </c>
      <c r="D8">
        <f t="shared" si="1"/>
        <v>35750</v>
      </c>
      <c r="E8" t="str">
        <f>_xll.RssFOPCode(A8,B8,IF(C8="C",1,IF(C8="P",2,"")),D8)</f>
        <v>マーケットスピード II にログインして「接続中」の状態に変更してから利用してください。</v>
      </c>
      <c r="F8" t="str">
        <f>_xll.RssFOPMarket($E8,F$1)</f>
        <v/>
      </c>
      <c r="G8" t="str">
        <f>_xll.RssFOPMarket($E8,G$1)</f>
        <v/>
      </c>
      <c r="H8" t="str">
        <f>_xll.RssFOPMarket($E8,H$1)</f>
        <v/>
      </c>
      <c r="I8" t="str">
        <f>_xll.RssFOPMarket($E8,I$1)</f>
        <v/>
      </c>
      <c r="J8" t="str">
        <f>_xll.RssFOPMarket($E8,J$1)</f>
        <v/>
      </c>
      <c r="K8" t="str">
        <f>_xll.RssFOPMarket($E8,K$1)</f>
        <v/>
      </c>
      <c r="L8" t="str">
        <f>_xll.RssFOPMarket($E8,L$1)</f>
        <v/>
      </c>
      <c r="M8" t="str">
        <f>_xll.RssFOPMarket($E8,M$1)</f>
        <v/>
      </c>
      <c r="N8" t="str">
        <f>_xll.RssFOPMarket($E8,N$1)</f>
        <v/>
      </c>
      <c r="O8" t="str">
        <f>_xll.RssFOPMarket($E8,O$1)</f>
        <v/>
      </c>
      <c r="P8" t="str">
        <f>_xll.RssFOPMarket($E8,P$1)</f>
        <v/>
      </c>
      <c r="Q8" t="str">
        <f>_xll.RssFOPMarket($E8,Q$1)</f>
        <v/>
      </c>
    </row>
    <row r="9" spans="1:17" x14ac:dyDescent="0.4">
      <c r="A9" t="str">
        <f t="shared" si="0"/>
        <v>N225MOP</v>
      </c>
      <c r="B9" t="str">
        <f t="shared" si="0"/>
        <v>202310#4</v>
      </c>
      <c r="C9" t="str">
        <f t="shared" si="0"/>
        <v>C</v>
      </c>
      <c r="D9">
        <f t="shared" si="1"/>
        <v>35625</v>
      </c>
      <c r="E9" t="str">
        <f>_xll.RssFOPCode(A9,B9,IF(C9="C",1,IF(C9="P",2,"")),D9)</f>
        <v>マーケットスピード II にログインして「接続中」の状態に変更してから利用してください。</v>
      </c>
      <c r="F9" t="str">
        <f>_xll.RssFOPMarket($E9,F$1)</f>
        <v/>
      </c>
      <c r="G9" t="str">
        <f>_xll.RssFOPMarket($E9,G$1)</f>
        <v/>
      </c>
      <c r="H9" t="str">
        <f>_xll.RssFOPMarket($E9,H$1)</f>
        <v/>
      </c>
      <c r="I9" t="str">
        <f>_xll.RssFOPMarket($E9,I$1)</f>
        <v/>
      </c>
      <c r="J9" t="str">
        <f>_xll.RssFOPMarket($E9,J$1)</f>
        <v/>
      </c>
      <c r="K9" t="str">
        <f>_xll.RssFOPMarket($E9,K$1)</f>
        <v/>
      </c>
      <c r="L9" t="str">
        <f>_xll.RssFOPMarket($E9,L$1)</f>
        <v/>
      </c>
      <c r="M9" t="str">
        <f>_xll.RssFOPMarket($E9,M$1)</f>
        <v/>
      </c>
      <c r="N9" t="str">
        <f>_xll.RssFOPMarket($E9,N$1)</f>
        <v/>
      </c>
      <c r="O9" t="str">
        <f>_xll.RssFOPMarket($E9,O$1)</f>
        <v/>
      </c>
      <c r="P9" t="str">
        <f>_xll.RssFOPMarket($E9,P$1)</f>
        <v/>
      </c>
      <c r="Q9" t="str">
        <f>_xll.RssFOPMarket($E9,Q$1)</f>
        <v/>
      </c>
    </row>
    <row r="10" spans="1:17" x14ac:dyDescent="0.4">
      <c r="A10" t="str">
        <f t="shared" si="0"/>
        <v>N225MOP</v>
      </c>
      <c r="B10" t="str">
        <f t="shared" si="0"/>
        <v>202310#4</v>
      </c>
      <c r="C10" t="str">
        <f t="shared" si="0"/>
        <v>C</v>
      </c>
      <c r="D10">
        <f t="shared" si="1"/>
        <v>35500</v>
      </c>
      <c r="E10" t="str">
        <f>_xll.RssFOPCode(A10,B10,IF(C10="C",1,IF(C10="P",2,"")),D10)</f>
        <v>マーケットスピード II にログインして「接続中」の状態に変更してから利用してください。</v>
      </c>
      <c r="F10" t="str">
        <f>_xll.RssFOPMarket($E10,F$1)</f>
        <v/>
      </c>
      <c r="G10" t="str">
        <f>_xll.RssFOPMarket($E10,G$1)</f>
        <v/>
      </c>
      <c r="H10" t="str">
        <f>_xll.RssFOPMarket($E10,H$1)</f>
        <v/>
      </c>
      <c r="I10" t="str">
        <f>_xll.RssFOPMarket($E10,I$1)</f>
        <v/>
      </c>
      <c r="J10" t="str">
        <f>_xll.RssFOPMarket($E10,J$1)</f>
        <v/>
      </c>
      <c r="K10" t="str">
        <f>_xll.RssFOPMarket($E10,K$1)</f>
        <v/>
      </c>
      <c r="L10" t="str">
        <f>_xll.RssFOPMarket($E10,L$1)</f>
        <v/>
      </c>
      <c r="M10" t="str">
        <f>_xll.RssFOPMarket($E10,M$1)</f>
        <v/>
      </c>
      <c r="N10" t="str">
        <f>_xll.RssFOPMarket($E10,N$1)</f>
        <v/>
      </c>
      <c r="O10" t="str">
        <f>_xll.RssFOPMarket($E10,O$1)</f>
        <v/>
      </c>
      <c r="P10" t="str">
        <f>_xll.RssFOPMarket($E10,P$1)</f>
        <v/>
      </c>
      <c r="Q10" t="str">
        <f>_xll.RssFOPMarket($E10,Q$1)</f>
        <v/>
      </c>
    </row>
    <row r="11" spans="1:17" x14ac:dyDescent="0.4">
      <c r="A11" t="str">
        <f t="shared" si="0"/>
        <v>N225MOP</v>
      </c>
      <c r="B11" t="str">
        <f t="shared" si="0"/>
        <v>202310#4</v>
      </c>
      <c r="C11" t="str">
        <f t="shared" si="0"/>
        <v>C</v>
      </c>
      <c r="D11">
        <f t="shared" si="1"/>
        <v>35375</v>
      </c>
      <c r="E11" t="str">
        <f>_xll.RssFOPCode(A11,B11,IF(C11="C",1,IF(C11="P",2,"")),D11)</f>
        <v>マーケットスピード II にログインして「接続中」の状態に変更してから利用してください。</v>
      </c>
      <c r="F11" t="str">
        <f>_xll.RssFOPMarket($E11,F$1)</f>
        <v/>
      </c>
      <c r="G11" t="str">
        <f>_xll.RssFOPMarket($E11,G$1)</f>
        <v/>
      </c>
      <c r="H11" t="str">
        <f>_xll.RssFOPMarket($E11,H$1)</f>
        <v/>
      </c>
      <c r="I11" t="str">
        <f>_xll.RssFOPMarket($E11,I$1)</f>
        <v/>
      </c>
      <c r="J11" t="str">
        <f>_xll.RssFOPMarket($E11,J$1)</f>
        <v/>
      </c>
      <c r="K11" t="str">
        <f>_xll.RssFOPMarket($E11,K$1)</f>
        <v/>
      </c>
      <c r="L11" t="str">
        <f>_xll.RssFOPMarket($E11,L$1)</f>
        <v/>
      </c>
      <c r="M11" t="str">
        <f>_xll.RssFOPMarket($E11,M$1)</f>
        <v/>
      </c>
      <c r="N11" t="str">
        <f>_xll.RssFOPMarket($E11,N$1)</f>
        <v/>
      </c>
      <c r="O11" t="str">
        <f>_xll.RssFOPMarket($E11,O$1)</f>
        <v/>
      </c>
      <c r="P11" t="str">
        <f>_xll.RssFOPMarket($E11,P$1)</f>
        <v/>
      </c>
      <c r="Q11" t="str">
        <f>_xll.RssFOPMarket($E11,Q$1)</f>
        <v/>
      </c>
    </row>
    <row r="12" spans="1:17" x14ac:dyDescent="0.4">
      <c r="A12" t="str">
        <f t="shared" si="0"/>
        <v>N225MOP</v>
      </c>
      <c r="B12" t="str">
        <f t="shared" si="0"/>
        <v>202310#4</v>
      </c>
      <c r="C12" t="str">
        <f t="shared" si="0"/>
        <v>C</v>
      </c>
      <c r="D12">
        <f t="shared" si="1"/>
        <v>35250</v>
      </c>
      <c r="E12" t="str">
        <f>_xll.RssFOPCode(A12,B12,IF(C12="C",1,IF(C12="P",2,"")),D12)</f>
        <v>マーケットスピード II にログインして「接続中」の状態に変更してから利用してください。</v>
      </c>
      <c r="F12" t="str">
        <f>_xll.RssFOPMarket($E12,F$1)</f>
        <v/>
      </c>
      <c r="G12" t="str">
        <f>_xll.RssFOPMarket($E12,G$1)</f>
        <v/>
      </c>
      <c r="H12" t="str">
        <f>_xll.RssFOPMarket($E12,H$1)</f>
        <v/>
      </c>
      <c r="I12" t="str">
        <f>_xll.RssFOPMarket($E12,I$1)</f>
        <v/>
      </c>
      <c r="J12" t="str">
        <f>_xll.RssFOPMarket($E12,J$1)</f>
        <v/>
      </c>
      <c r="K12" t="str">
        <f>_xll.RssFOPMarket($E12,K$1)</f>
        <v/>
      </c>
      <c r="L12" t="str">
        <f>_xll.RssFOPMarket($E12,L$1)</f>
        <v/>
      </c>
      <c r="M12" t="str">
        <f>_xll.RssFOPMarket($E12,M$1)</f>
        <v/>
      </c>
      <c r="N12" t="str">
        <f>_xll.RssFOPMarket($E12,N$1)</f>
        <v/>
      </c>
      <c r="O12" t="str">
        <f>_xll.RssFOPMarket($E12,O$1)</f>
        <v/>
      </c>
      <c r="P12" t="str">
        <f>_xll.RssFOPMarket($E12,P$1)</f>
        <v/>
      </c>
      <c r="Q12" t="str">
        <f>_xll.RssFOPMarket($E12,Q$1)</f>
        <v/>
      </c>
    </row>
    <row r="13" spans="1:17" x14ac:dyDescent="0.4">
      <c r="A13" t="str">
        <f t="shared" si="0"/>
        <v>N225MOP</v>
      </c>
      <c r="B13" t="str">
        <f t="shared" si="0"/>
        <v>202310#4</v>
      </c>
      <c r="C13" t="str">
        <f t="shared" si="0"/>
        <v>C</v>
      </c>
      <c r="D13">
        <f t="shared" si="1"/>
        <v>35125</v>
      </c>
      <c r="E13" t="str">
        <f>_xll.RssFOPCode(A13,B13,IF(C13="C",1,IF(C13="P",2,"")),D13)</f>
        <v>マーケットスピード II にログインして「接続中」の状態に変更してから利用してください。</v>
      </c>
      <c r="F13" t="str">
        <f>_xll.RssFOPMarket($E13,F$1)</f>
        <v/>
      </c>
      <c r="G13" t="str">
        <f>_xll.RssFOPMarket($E13,G$1)</f>
        <v/>
      </c>
      <c r="H13" t="str">
        <f>_xll.RssFOPMarket($E13,H$1)</f>
        <v/>
      </c>
      <c r="I13" t="str">
        <f>_xll.RssFOPMarket($E13,I$1)</f>
        <v/>
      </c>
      <c r="J13" t="str">
        <f>_xll.RssFOPMarket($E13,J$1)</f>
        <v/>
      </c>
      <c r="K13" t="str">
        <f>_xll.RssFOPMarket($E13,K$1)</f>
        <v/>
      </c>
      <c r="L13" t="str">
        <f>_xll.RssFOPMarket($E13,L$1)</f>
        <v/>
      </c>
      <c r="M13" t="str">
        <f>_xll.RssFOPMarket($E13,M$1)</f>
        <v/>
      </c>
      <c r="N13" t="str">
        <f>_xll.RssFOPMarket($E13,N$1)</f>
        <v/>
      </c>
      <c r="O13" t="str">
        <f>_xll.RssFOPMarket($E13,O$1)</f>
        <v/>
      </c>
      <c r="P13" t="str">
        <f>_xll.RssFOPMarket($E13,P$1)</f>
        <v/>
      </c>
      <c r="Q13" t="str">
        <f>_xll.RssFOPMarket($E13,Q$1)</f>
        <v/>
      </c>
    </row>
    <row r="14" spans="1:17" x14ac:dyDescent="0.4">
      <c r="A14" t="str">
        <f t="shared" si="0"/>
        <v>N225MOP</v>
      </c>
      <c r="B14" t="str">
        <f t="shared" si="0"/>
        <v>202310#4</v>
      </c>
      <c r="C14" t="str">
        <f t="shared" si="0"/>
        <v>C</v>
      </c>
      <c r="D14">
        <f t="shared" si="1"/>
        <v>35000</v>
      </c>
      <c r="E14" t="str">
        <f>_xll.RssFOPCode(A14,B14,IF(C14="C",1,IF(C14="P",2,"")),D14)</f>
        <v>マーケットスピード II にログインして「接続中」の状態に変更してから利用してください。</v>
      </c>
      <c r="F14" t="str">
        <f>_xll.RssFOPMarket($E14,F$1)</f>
        <v/>
      </c>
      <c r="G14" t="str">
        <f>_xll.RssFOPMarket($E14,G$1)</f>
        <v/>
      </c>
      <c r="H14" t="str">
        <f>_xll.RssFOPMarket($E14,H$1)</f>
        <v/>
      </c>
      <c r="I14" t="str">
        <f>_xll.RssFOPMarket($E14,I$1)</f>
        <v/>
      </c>
      <c r="J14" t="str">
        <f>_xll.RssFOPMarket($E14,J$1)</f>
        <v/>
      </c>
      <c r="K14" t="str">
        <f>_xll.RssFOPMarket($E14,K$1)</f>
        <v/>
      </c>
      <c r="L14" t="str">
        <f>_xll.RssFOPMarket($E14,L$1)</f>
        <v/>
      </c>
      <c r="M14" t="str">
        <f>_xll.RssFOPMarket($E14,M$1)</f>
        <v/>
      </c>
      <c r="N14" t="str">
        <f>_xll.RssFOPMarket($E14,N$1)</f>
        <v/>
      </c>
      <c r="O14" t="str">
        <f>_xll.RssFOPMarket($E14,O$1)</f>
        <v/>
      </c>
      <c r="P14" t="str">
        <f>_xll.RssFOPMarket($E14,P$1)</f>
        <v/>
      </c>
      <c r="Q14" t="str">
        <f>_xll.RssFOPMarket($E14,Q$1)</f>
        <v/>
      </c>
    </row>
    <row r="15" spans="1:17" x14ac:dyDescent="0.4">
      <c r="A15" t="str">
        <f t="shared" si="0"/>
        <v>N225MOP</v>
      </c>
      <c r="B15" t="str">
        <f t="shared" si="0"/>
        <v>202310#4</v>
      </c>
      <c r="C15" t="str">
        <f t="shared" si="0"/>
        <v>C</v>
      </c>
      <c r="D15">
        <f t="shared" si="1"/>
        <v>34875</v>
      </c>
      <c r="E15" t="str">
        <f>_xll.RssFOPCode(A15,B15,IF(C15="C",1,IF(C15="P",2,"")),D15)</f>
        <v>マーケットスピード II にログインして「接続中」の状態に変更してから利用してください。</v>
      </c>
      <c r="F15" t="str">
        <f>_xll.RssFOPMarket($E15,F$1)</f>
        <v/>
      </c>
      <c r="G15" t="str">
        <f>_xll.RssFOPMarket($E15,G$1)</f>
        <v/>
      </c>
      <c r="H15" t="str">
        <f>_xll.RssFOPMarket($E15,H$1)</f>
        <v/>
      </c>
      <c r="I15" t="str">
        <f>_xll.RssFOPMarket($E15,I$1)</f>
        <v/>
      </c>
      <c r="J15" t="str">
        <f>_xll.RssFOPMarket($E15,J$1)</f>
        <v/>
      </c>
      <c r="K15" t="str">
        <f>_xll.RssFOPMarket($E15,K$1)</f>
        <v/>
      </c>
      <c r="L15" t="str">
        <f>_xll.RssFOPMarket($E15,L$1)</f>
        <v/>
      </c>
      <c r="M15" t="str">
        <f>_xll.RssFOPMarket($E15,M$1)</f>
        <v/>
      </c>
      <c r="N15" t="str">
        <f>_xll.RssFOPMarket($E15,N$1)</f>
        <v/>
      </c>
      <c r="O15" t="str">
        <f>_xll.RssFOPMarket($E15,O$1)</f>
        <v/>
      </c>
      <c r="P15" t="str">
        <f>_xll.RssFOPMarket($E15,P$1)</f>
        <v/>
      </c>
      <c r="Q15" t="str">
        <f>_xll.RssFOPMarket($E15,Q$1)</f>
        <v/>
      </c>
    </row>
    <row r="16" spans="1:17" x14ac:dyDescent="0.4">
      <c r="A16" t="str">
        <f t="shared" si="0"/>
        <v>N225MOP</v>
      </c>
      <c r="B16" t="str">
        <f t="shared" si="0"/>
        <v>202310#4</v>
      </c>
      <c r="C16" t="str">
        <f t="shared" si="0"/>
        <v>C</v>
      </c>
      <c r="D16">
        <f t="shared" si="1"/>
        <v>34750</v>
      </c>
      <c r="E16" t="str">
        <f>_xll.RssFOPCode(A16,B16,IF(C16="C",1,IF(C16="P",2,"")),D16)</f>
        <v>マーケットスピード II にログインして「接続中」の状態に変更してから利用してください。</v>
      </c>
      <c r="F16" t="str">
        <f>_xll.RssFOPMarket($E16,F$1)</f>
        <v/>
      </c>
      <c r="G16" t="str">
        <f>_xll.RssFOPMarket($E16,G$1)</f>
        <v/>
      </c>
      <c r="H16" t="str">
        <f>_xll.RssFOPMarket($E16,H$1)</f>
        <v/>
      </c>
      <c r="I16" t="str">
        <f>_xll.RssFOPMarket($E16,I$1)</f>
        <v/>
      </c>
      <c r="J16" t="str">
        <f>_xll.RssFOPMarket($E16,J$1)</f>
        <v/>
      </c>
      <c r="K16" t="str">
        <f>_xll.RssFOPMarket($E16,K$1)</f>
        <v/>
      </c>
      <c r="L16" t="str">
        <f>_xll.RssFOPMarket($E16,L$1)</f>
        <v/>
      </c>
      <c r="M16" t="str">
        <f>_xll.RssFOPMarket($E16,M$1)</f>
        <v/>
      </c>
      <c r="N16" t="str">
        <f>_xll.RssFOPMarket($E16,N$1)</f>
        <v/>
      </c>
      <c r="O16" t="str">
        <f>_xll.RssFOPMarket($E16,O$1)</f>
        <v/>
      </c>
      <c r="P16" t="str">
        <f>_xll.RssFOPMarket($E16,P$1)</f>
        <v/>
      </c>
      <c r="Q16" t="str">
        <f>_xll.RssFOPMarket($E16,Q$1)</f>
        <v/>
      </c>
    </row>
    <row r="17" spans="1:17" x14ac:dyDescent="0.4">
      <c r="A17" t="str">
        <f t="shared" si="0"/>
        <v>N225MOP</v>
      </c>
      <c r="B17" t="str">
        <f t="shared" si="0"/>
        <v>202310#4</v>
      </c>
      <c r="C17" t="str">
        <f t="shared" si="0"/>
        <v>C</v>
      </c>
      <c r="D17">
        <f t="shared" si="1"/>
        <v>34625</v>
      </c>
      <c r="E17" t="str">
        <f>_xll.RssFOPCode(A17,B17,IF(C17="C",1,IF(C17="P",2,"")),D17)</f>
        <v>マーケットスピード II にログインして「接続中」の状態に変更してから利用してください。</v>
      </c>
      <c r="F17" t="str">
        <f>_xll.RssFOPMarket($E17,F$1)</f>
        <v/>
      </c>
      <c r="G17" t="str">
        <f>_xll.RssFOPMarket($E17,G$1)</f>
        <v/>
      </c>
      <c r="H17" t="str">
        <f>_xll.RssFOPMarket($E17,H$1)</f>
        <v/>
      </c>
      <c r="I17" t="str">
        <f>_xll.RssFOPMarket($E17,I$1)</f>
        <v/>
      </c>
      <c r="J17" t="str">
        <f>_xll.RssFOPMarket($E17,J$1)</f>
        <v/>
      </c>
      <c r="K17" t="str">
        <f>_xll.RssFOPMarket($E17,K$1)</f>
        <v/>
      </c>
      <c r="L17" t="str">
        <f>_xll.RssFOPMarket($E17,L$1)</f>
        <v/>
      </c>
      <c r="M17" t="str">
        <f>_xll.RssFOPMarket($E17,M$1)</f>
        <v/>
      </c>
      <c r="N17" t="str">
        <f>_xll.RssFOPMarket($E17,N$1)</f>
        <v/>
      </c>
      <c r="O17" t="str">
        <f>_xll.RssFOPMarket($E17,O$1)</f>
        <v/>
      </c>
      <c r="P17" t="str">
        <f>_xll.RssFOPMarket($E17,P$1)</f>
        <v/>
      </c>
      <c r="Q17" t="str">
        <f>_xll.RssFOPMarket($E17,Q$1)</f>
        <v/>
      </c>
    </row>
    <row r="18" spans="1:17" x14ac:dyDescent="0.4">
      <c r="A18" t="str">
        <f t="shared" si="0"/>
        <v>N225MOP</v>
      </c>
      <c r="B18" t="str">
        <f t="shared" si="0"/>
        <v>202310#4</v>
      </c>
      <c r="C18" t="str">
        <f t="shared" si="0"/>
        <v>C</v>
      </c>
      <c r="D18">
        <f t="shared" si="1"/>
        <v>34500</v>
      </c>
      <c r="E18" t="str">
        <f>_xll.RssFOPCode(A18,B18,IF(C18="C",1,IF(C18="P",2,"")),D18)</f>
        <v>マーケットスピード II にログインして「接続中」の状態に変更してから利用してください。</v>
      </c>
      <c r="F18" t="str">
        <f>_xll.RssFOPMarket($E18,F$1)</f>
        <v/>
      </c>
      <c r="G18" t="str">
        <f>_xll.RssFOPMarket($E18,G$1)</f>
        <v/>
      </c>
      <c r="H18" t="str">
        <f>_xll.RssFOPMarket($E18,H$1)</f>
        <v/>
      </c>
      <c r="I18" t="str">
        <f>_xll.RssFOPMarket($E18,I$1)</f>
        <v/>
      </c>
      <c r="J18" t="str">
        <f>_xll.RssFOPMarket($E18,J$1)</f>
        <v/>
      </c>
      <c r="K18" t="str">
        <f>_xll.RssFOPMarket($E18,K$1)</f>
        <v/>
      </c>
      <c r="L18" t="str">
        <f>_xll.RssFOPMarket($E18,L$1)</f>
        <v/>
      </c>
      <c r="M18" t="str">
        <f>_xll.RssFOPMarket($E18,M$1)</f>
        <v/>
      </c>
      <c r="N18" t="str">
        <f>_xll.RssFOPMarket($E18,N$1)</f>
        <v/>
      </c>
      <c r="O18" t="str">
        <f>_xll.RssFOPMarket($E18,O$1)</f>
        <v/>
      </c>
      <c r="P18" t="str">
        <f>_xll.RssFOPMarket($E18,P$1)</f>
        <v/>
      </c>
      <c r="Q18" t="str">
        <f>_xll.RssFOPMarket($E18,Q$1)</f>
        <v/>
      </c>
    </row>
    <row r="19" spans="1:17" x14ac:dyDescent="0.4">
      <c r="A19" t="str">
        <f t="shared" si="0"/>
        <v>N225MOP</v>
      </c>
      <c r="B19" t="str">
        <f t="shared" si="0"/>
        <v>202310#4</v>
      </c>
      <c r="C19" t="str">
        <f t="shared" si="0"/>
        <v>C</v>
      </c>
      <c r="D19">
        <f t="shared" si="1"/>
        <v>34375</v>
      </c>
      <c r="E19" t="str">
        <f>_xll.RssFOPCode(A19,B19,IF(C19="C",1,IF(C19="P",2,"")),D19)</f>
        <v>マーケットスピード II にログインして「接続中」の状態に変更してから利用してください。</v>
      </c>
      <c r="F19" t="str">
        <f>_xll.RssFOPMarket($E19,F$1)</f>
        <v/>
      </c>
      <c r="G19" t="str">
        <f>_xll.RssFOPMarket($E19,G$1)</f>
        <v/>
      </c>
      <c r="H19" t="str">
        <f>_xll.RssFOPMarket($E19,H$1)</f>
        <v/>
      </c>
      <c r="I19" t="str">
        <f>_xll.RssFOPMarket($E19,I$1)</f>
        <v/>
      </c>
      <c r="J19" t="str">
        <f>_xll.RssFOPMarket($E19,J$1)</f>
        <v/>
      </c>
      <c r="K19" t="str">
        <f>_xll.RssFOPMarket($E19,K$1)</f>
        <v/>
      </c>
      <c r="L19" t="str">
        <f>_xll.RssFOPMarket($E19,L$1)</f>
        <v/>
      </c>
      <c r="M19" t="str">
        <f>_xll.RssFOPMarket($E19,M$1)</f>
        <v/>
      </c>
      <c r="N19" t="str">
        <f>_xll.RssFOPMarket($E19,N$1)</f>
        <v/>
      </c>
      <c r="O19" t="str">
        <f>_xll.RssFOPMarket($E19,O$1)</f>
        <v/>
      </c>
      <c r="P19" t="str">
        <f>_xll.RssFOPMarket($E19,P$1)</f>
        <v/>
      </c>
      <c r="Q19" t="str">
        <f>_xll.RssFOPMarket($E19,Q$1)</f>
        <v/>
      </c>
    </row>
    <row r="20" spans="1:17" x14ac:dyDescent="0.4">
      <c r="A20" t="str">
        <f t="shared" si="0"/>
        <v>N225MOP</v>
      </c>
      <c r="B20" t="str">
        <f t="shared" si="0"/>
        <v>202310#4</v>
      </c>
      <c r="C20" t="str">
        <f t="shared" si="0"/>
        <v>C</v>
      </c>
      <c r="D20">
        <f t="shared" si="1"/>
        <v>34250</v>
      </c>
      <c r="E20" t="str">
        <f>_xll.RssFOPCode(A20,B20,IF(C20="C",1,IF(C20="P",2,"")),D20)</f>
        <v>マーケットスピード II にログインして「接続中」の状態に変更してから利用してください。</v>
      </c>
      <c r="F20" t="str">
        <f>_xll.RssFOPMarket($E20,F$1)</f>
        <v/>
      </c>
      <c r="G20" t="str">
        <f>_xll.RssFOPMarket($E20,G$1)</f>
        <v/>
      </c>
      <c r="H20" t="str">
        <f>_xll.RssFOPMarket($E20,H$1)</f>
        <v/>
      </c>
      <c r="I20" t="str">
        <f>_xll.RssFOPMarket($E20,I$1)</f>
        <v/>
      </c>
      <c r="J20" t="str">
        <f>_xll.RssFOPMarket($E20,J$1)</f>
        <v/>
      </c>
      <c r="K20" t="str">
        <f>_xll.RssFOPMarket($E20,K$1)</f>
        <v/>
      </c>
      <c r="L20" t="str">
        <f>_xll.RssFOPMarket($E20,L$1)</f>
        <v/>
      </c>
      <c r="M20" t="str">
        <f>_xll.RssFOPMarket($E20,M$1)</f>
        <v/>
      </c>
      <c r="N20" t="str">
        <f>_xll.RssFOPMarket($E20,N$1)</f>
        <v/>
      </c>
      <c r="O20" t="str">
        <f>_xll.RssFOPMarket($E20,O$1)</f>
        <v/>
      </c>
      <c r="P20" t="str">
        <f>_xll.RssFOPMarket($E20,P$1)</f>
        <v/>
      </c>
      <c r="Q20" t="str">
        <f>_xll.RssFOPMarket($E20,Q$1)</f>
        <v/>
      </c>
    </row>
    <row r="21" spans="1:17" x14ac:dyDescent="0.4">
      <c r="A21" t="str">
        <f t="shared" si="0"/>
        <v>N225MOP</v>
      </c>
      <c r="B21" t="str">
        <f t="shared" si="0"/>
        <v>202310#4</v>
      </c>
      <c r="C21" t="str">
        <f t="shared" si="0"/>
        <v>C</v>
      </c>
      <c r="D21">
        <f t="shared" si="1"/>
        <v>34125</v>
      </c>
      <c r="E21" t="str">
        <f>_xll.RssFOPCode(A21,B21,IF(C21="C",1,IF(C21="P",2,"")),D21)</f>
        <v>マーケットスピード II にログインして「接続中」の状態に変更してから利用してください。</v>
      </c>
      <c r="F21" t="str">
        <f>_xll.RssFOPMarket($E21,F$1)</f>
        <v/>
      </c>
      <c r="G21" t="str">
        <f>_xll.RssFOPMarket($E21,G$1)</f>
        <v/>
      </c>
      <c r="H21" t="str">
        <f>_xll.RssFOPMarket($E21,H$1)</f>
        <v/>
      </c>
      <c r="I21" t="str">
        <f>_xll.RssFOPMarket($E21,I$1)</f>
        <v/>
      </c>
      <c r="J21" t="str">
        <f>_xll.RssFOPMarket($E21,J$1)</f>
        <v/>
      </c>
      <c r="K21" t="str">
        <f>_xll.RssFOPMarket($E21,K$1)</f>
        <v/>
      </c>
      <c r="L21" t="str">
        <f>_xll.RssFOPMarket($E21,L$1)</f>
        <v/>
      </c>
      <c r="M21" t="str">
        <f>_xll.RssFOPMarket($E21,M$1)</f>
        <v/>
      </c>
      <c r="N21" t="str">
        <f>_xll.RssFOPMarket($E21,N$1)</f>
        <v/>
      </c>
      <c r="O21" t="str">
        <f>_xll.RssFOPMarket($E21,O$1)</f>
        <v/>
      </c>
      <c r="P21" t="str">
        <f>_xll.RssFOPMarket($E21,P$1)</f>
        <v/>
      </c>
      <c r="Q21" t="str">
        <f>_xll.RssFOPMarket($E21,Q$1)</f>
        <v/>
      </c>
    </row>
    <row r="22" spans="1:17" x14ac:dyDescent="0.4">
      <c r="A22" t="str">
        <f t="shared" si="0"/>
        <v>N225MOP</v>
      </c>
      <c r="B22" t="str">
        <f t="shared" si="0"/>
        <v>202310#4</v>
      </c>
      <c r="C22" t="str">
        <f t="shared" si="0"/>
        <v>C</v>
      </c>
      <c r="D22">
        <f t="shared" si="1"/>
        <v>34000</v>
      </c>
      <c r="E22" t="str">
        <f>_xll.RssFOPCode(A22,B22,IF(C22="C",1,IF(C22="P",2,"")),D22)</f>
        <v>マーケットスピード II にログインして「接続中」の状態に変更してから利用してください。</v>
      </c>
      <c r="F22" t="str">
        <f>_xll.RssFOPMarket($E22,F$1)</f>
        <v/>
      </c>
      <c r="G22" t="str">
        <f>_xll.RssFOPMarket($E22,G$1)</f>
        <v/>
      </c>
      <c r="H22" t="str">
        <f>_xll.RssFOPMarket($E22,H$1)</f>
        <v/>
      </c>
      <c r="I22" t="str">
        <f>_xll.RssFOPMarket($E22,I$1)</f>
        <v/>
      </c>
      <c r="J22" t="str">
        <f>_xll.RssFOPMarket($E22,J$1)</f>
        <v/>
      </c>
      <c r="K22" t="str">
        <f>_xll.RssFOPMarket($E22,K$1)</f>
        <v/>
      </c>
      <c r="L22" t="str">
        <f>_xll.RssFOPMarket($E22,L$1)</f>
        <v/>
      </c>
      <c r="M22" t="str">
        <f>_xll.RssFOPMarket($E22,M$1)</f>
        <v/>
      </c>
      <c r="N22" t="str">
        <f>_xll.RssFOPMarket($E22,N$1)</f>
        <v/>
      </c>
      <c r="O22" t="str">
        <f>_xll.RssFOPMarket($E22,O$1)</f>
        <v/>
      </c>
      <c r="P22" t="str">
        <f>_xll.RssFOPMarket($E22,P$1)</f>
        <v/>
      </c>
      <c r="Q22" t="str">
        <f>_xll.RssFOPMarket($E22,Q$1)</f>
        <v/>
      </c>
    </row>
    <row r="23" spans="1:17" x14ac:dyDescent="0.4">
      <c r="A23" t="str">
        <f t="shared" si="0"/>
        <v>N225MOP</v>
      </c>
      <c r="B23" t="str">
        <f t="shared" si="0"/>
        <v>202310#4</v>
      </c>
      <c r="C23" t="str">
        <f t="shared" si="0"/>
        <v>C</v>
      </c>
      <c r="D23">
        <f t="shared" si="1"/>
        <v>33875</v>
      </c>
      <c r="E23" t="str">
        <f>_xll.RssFOPCode(A23,B23,IF(C23="C",1,IF(C23="P",2,"")),D23)</f>
        <v>マーケットスピード II にログインして「接続中」の状態に変更してから利用してください。</v>
      </c>
      <c r="F23" t="str">
        <f>_xll.RssFOPMarket($E23,F$1)</f>
        <v/>
      </c>
      <c r="G23" t="str">
        <f>_xll.RssFOPMarket($E23,G$1)</f>
        <v/>
      </c>
      <c r="H23" t="str">
        <f>_xll.RssFOPMarket($E23,H$1)</f>
        <v/>
      </c>
      <c r="I23" t="str">
        <f>_xll.RssFOPMarket($E23,I$1)</f>
        <v/>
      </c>
      <c r="J23" t="str">
        <f>_xll.RssFOPMarket($E23,J$1)</f>
        <v/>
      </c>
      <c r="K23" t="str">
        <f>_xll.RssFOPMarket($E23,K$1)</f>
        <v/>
      </c>
      <c r="L23" t="str">
        <f>_xll.RssFOPMarket($E23,L$1)</f>
        <v/>
      </c>
      <c r="M23" t="str">
        <f>_xll.RssFOPMarket($E23,M$1)</f>
        <v/>
      </c>
      <c r="N23" t="str">
        <f>_xll.RssFOPMarket($E23,N$1)</f>
        <v/>
      </c>
      <c r="O23" t="str">
        <f>_xll.RssFOPMarket($E23,O$1)</f>
        <v/>
      </c>
      <c r="P23" t="str">
        <f>_xll.RssFOPMarket($E23,P$1)</f>
        <v/>
      </c>
      <c r="Q23" t="str">
        <f>_xll.RssFOPMarket($E23,Q$1)</f>
        <v/>
      </c>
    </row>
    <row r="24" spans="1:17" x14ac:dyDescent="0.4">
      <c r="A24" t="str">
        <f t="shared" si="0"/>
        <v>N225MOP</v>
      </c>
      <c r="B24" t="str">
        <f t="shared" si="0"/>
        <v>202310#4</v>
      </c>
      <c r="C24" t="str">
        <f t="shared" si="0"/>
        <v>C</v>
      </c>
      <c r="D24">
        <f t="shared" si="1"/>
        <v>33750</v>
      </c>
      <c r="E24" t="str">
        <f>_xll.RssFOPCode(A24,B24,IF(C24="C",1,IF(C24="P",2,"")),D24)</f>
        <v>マーケットスピード II にログインして「接続中」の状態に変更してから利用してください。</v>
      </c>
      <c r="F24" t="str">
        <f>_xll.RssFOPMarket($E24,F$1)</f>
        <v/>
      </c>
      <c r="G24" t="str">
        <f>_xll.RssFOPMarket($E24,G$1)</f>
        <v/>
      </c>
      <c r="H24" t="str">
        <f>_xll.RssFOPMarket($E24,H$1)</f>
        <v/>
      </c>
      <c r="I24" t="str">
        <f>_xll.RssFOPMarket($E24,I$1)</f>
        <v/>
      </c>
      <c r="J24" t="str">
        <f>_xll.RssFOPMarket($E24,J$1)</f>
        <v/>
      </c>
      <c r="K24" t="str">
        <f>_xll.RssFOPMarket($E24,K$1)</f>
        <v/>
      </c>
      <c r="L24" t="str">
        <f>_xll.RssFOPMarket($E24,L$1)</f>
        <v/>
      </c>
      <c r="M24" t="str">
        <f>_xll.RssFOPMarket($E24,M$1)</f>
        <v/>
      </c>
      <c r="N24" t="str">
        <f>_xll.RssFOPMarket($E24,N$1)</f>
        <v/>
      </c>
      <c r="O24" t="str">
        <f>_xll.RssFOPMarket($E24,O$1)</f>
        <v/>
      </c>
      <c r="P24" t="str">
        <f>_xll.RssFOPMarket($E24,P$1)</f>
        <v/>
      </c>
      <c r="Q24" t="str">
        <f>_xll.RssFOPMarket($E24,Q$1)</f>
        <v/>
      </c>
    </row>
    <row r="25" spans="1:17" x14ac:dyDescent="0.4">
      <c r="A25" t="str">
        <f t="shared" si="0"/>
        <v>N225MOP</v>
      </c>
      <c r="B25" t="str">
        <f t="shared" si="0"/>
        <v>202310#4</v>
      </c>
      <c r="C25" t="str">
        <f t="shared" si="0"/>
        <v>C</v>
      </c>
      <c r="D25">
        <f t="shared" si="1"/>
        <v>33625</v>
      </c>
      <c r="E25" t="str">
        <f>_xll.RssFOPCode(A25,B25,IF(C25="C",1,IF(C25="P",2,"")),D25)</f>
        <v>マーケットスピード II にログインして「接続中」の状態に変更してから利用してください。</v>
      </c>
      <c r="F25" t="str">
        <f>_xll.RssFOPMarket($E25,F$1)</f>
        <v/>
      </c>
      <c r="G25" t="str">
        <f>_xll.RssFOPMarket($E25,G$1)</f>
        <v/>
      </c>
      <c r="H25" t="str">
        <f>_xll.RssFOPMarket($E25,H$1)</f>
        <v/>
      </c>
      <c r="I25" t="str">
        <f>_xll.RssFOPMarket($E25,I$1)</f>
        <v/>
      </c>
      <c r="J25" t="str">
        <f>_xll.RssFOPMarket($E25,J$1)</f>
        <v/>
      </c>
      <c r="K25" t="str">
        <f>_xll.RssFOPMarket($E25,K$1)</f>
        <v/>
      </c>
      <c r="L25" t="str">
        <f>_xll.RssFOPMarket($E25,L$1)</f>
        <v/>
      </c>
      <c r="M25" t="str">
        <f>_xll.RssFOPMarket($E25,M$1)</f>
        <v/>
      </c>
      <c r="N25" t="str">
        <f>_xll.RssFOPMarket($E25,N$1)</f>
        <v/>
      </c>
      <c r="O25" t="str">
        <f>_xll.RssFOPMarket($E25,O$1)</f>
        <v/>
      </c>
      <c r="P25" t="str">
        <f>_xll.RssFOPMarket($E25,P$1)</f>
        <v/>
      </c>
      <c r="Q25" t="str">
        <f>_xll.RssFOPMarket($E25,Q$1)</f>
        <v/>
      </c>
    </row>
    <row r="26" spans="1:17" x14ac:dyDescent="0.4">
      <c r="A26" t="str">
        <f t="shared" si="0"/>
        <v>N225MOP</v>
      </c>
      <c r="B26" t="str">
        <f t="shared" si="0"/>
        <v>202310#4</v>
      </c>
      <c r="C26" t="str">
        <f t="shared" si="0"/>
        <v>C</v>
      </c>
      <c r="D26">
        <f t="shared" si="1"/>
        <v>33500</v>
      </c>
      <c r="E26" t="str">
        <f>_xll.RssFOPCode(A26,B26,IF(C26="C",1,IF(C26="P",2,"")),D26)</f>
        <v>マーケットスピード II にログインして「接続中」の状態に変更してから利用してください。</v>
      </c>
      <c r="F26" t="str">
        <f>_xll.RssFOPMarket($E26,F$1)</f>
        <v/>
      </c>
      <c r="G26" t="str">
        <f>_xll.RssFOPMarket($E26,G$1)</f>
        <v/>
      </c>
      <c r="H26" t="str">
        <f>_xll.RssFOPMarket($E26,H$1)</f>
        <v/>
      </c>
      <c r="I26" t="str">
        <f>_xll.RssFOPMarket($E26,I$1)</f>
        <v/>
      </c>
      <c r="J26" t="str">
        <f>_xll.RssFOPMarket($E26,J$1)</f>
        <v/>
      </c>
      <c r="K26" t="str">
        <f>_xll.RssFOPMarket($E26,K$1)</f>
        <v/>
      </c>
      <c r="L26" t="str">
        <f>_xll.RssFOPMarket($E26,L$1)</f>
        <v/>
      </c>
      <c r="M26" t="str">
        <f>_xll.RssFOPMarket($E26,M$1)</f>
        <v/>
      </c>
      <c r="N26" t="str">
        <f>_xll.RssFOPMarket($E26,N$1)</f>
        <v/>
      </c>
      <c r="O26" t="str">
        <f>_xll.RssFOPMarket($E26,O$1)</f>
        <v/>
      </c>
      <c r="P26" t="str">
        <f>_xll.RssFOPMarket($E26,P$1)</f>
        <v/>
      </c>
      <c r="Q26" t="str">
        <f>_xll.RssFOPMarket($E26,Q$1)</f>
        <v/>
      </c>
    </row>
    <row r="27" spans="1:17" x14ac:dyDescent="0.4">
      <c r="A27" t="str">
        <f t="shared" si="0"/>
        <v>N225MOP</v>
      </c>
      <c r="B27" t="str">
        <f t="shared" si="0"/>
        <v>202310#4</v>
      </c>
      <c r="C27" t="str">
        <f t="shared" si="0"/>
        <v>C</v>
      </c>
      <c r="D27">
        <f t="shared" si="1"/>
        <v>33375</v>
      </c>
      <c r="E27" t="str">
        <f>_xll.RssFOPCode(A27,B27,IF(C27="C",1,IF(C27="P",2,"")),D27)</f>
        <v>マーケットスピード II にログインして「接続中」の状態に変更してから利用してください。</v>
      </c>
      <c r="F27" t="str">
        <f>_xll.RssFOPMarket($E27,F$1)</f>
        <v/>
      </c>
      <c r="G27" t="str">
        <f>_xll.RssFOPMarket($E27,G$1)</f>
        <v/>
      </c>
      <c r="H27" t="str">
        <f>_xll.RssFOPMarket($E27,H$1)</f>
        <v/>
      </c>
      <c r="I27" t="str">
        <f>_xll.RssFOPMarket($E27,I$1)</f>
        <v/>
      </c>
      <c r="J27" t="str">
        <f>_xll.RssFOPMarket($E27,J$1)</f>
        <v/>
      </c>
      <c r="K27" t="str">
        <f>_xll.RssFOPMarket($E27,K$1)</f>
        <v/>
      </c>
      <c r="L27" t="str">
        <f>_xll.RssFOPMarket($E27,L$1)</f>
        <v/>
      </c>
      <c r="M27" t="str">
        <f>_xll.RssFOPMarket($E27,M$1)</f>
        <v/>
      </c>
      <c r="N27" t="str">
        <f>_xll.RssFOPMarket($E27,N$1)</f>
        <v/>
      </c>
      <c r="O27" t="str">
        <f>_xll.RssFOPMarket($E27,O$1)</f>
        <v/>
      </c>
      <c r="P27" t="str">
        <f>_xll.RssFOPMarket($E27,P$1)</f>
        <v/>
      </c>
      <c r="Q27" t="str">
        <f>_xll.RssFOPMarket($E27,Q$1)</f>
        <v/>
      </c>
    </row>
    <row r="28" spans="1:17" x14ac:dyDescent="0.4">
      <c r="A28" t="str">
        <f t="shared" si="0"/>
        <v>N225MOP</v>
      </c>
      <c r="B28" t="str">
        <f t="shared" si="0"/>
        <v>202310#4</v>
      </c>
      <c r="C28" t="str">
        <f t="shared" si="0"/>
        <v>C</v>
      </c>
      <c r="D28">
        <f t="shared" si="1"/>
        <v>33250</v>
      </c>
      <c r="E28" t="str">
        <f>_xll.RssFOPCode(A28,B28,IF(C28="C",1,IF(C28="P",2,"")),D28)</f>
        <v>マーケットスピード II にログインして「接続中」の状態に変更してから利用してください。</v>
      </c>
      <c r="F28" t="str">
        <f>_xll.RssFOPMarket($E28,F$1)</f>
        <v/>
      </c>
      <c r="G28" t="str">
        <f>_xll.RssFOPMarket($E28,G$1)</f>
        <v/>
      </c>
      <c r="H28" t="str">
        <f>_xll.RssFOPMarket($E28,H$1)</f>
        <v/>
      </c>
      <c r="I28" t="str">
        <f>_xll.RssFOPMarket($E28,I$1)</f>
        <v/>
      </c>
      <c r="J28" t="str">
        <f>_xll.RssFOPMarket($E28,J$1)</f>
        <v/>
      </c>
      <c r="K28" t="str">
        <f>_xll.RssFOPMarket($E28,K$1)</f>
        <v/>
      </c>
      <c r="L28" t="str">
        <f>_xll.RssFOPMarket($E28,L$1)</f>
        <v/>
      </c>
      <c r="M28" t="str">
        <f>_xll.RssFOPMarket($E28,M$1)</f>
        <v/>
      </c>
      <c r="N28" t="str">
        <f>_xll.RssFOPMarket($E28,N$1)</f>
        <v/>
      </c>
      <c r="O28" t="str">
        <f>_xll.RssFOPMarket($E28,O$1)</f>
        <v/>
      </c>
      <c r="P28" t="str">
        <f>_xll.RssFOPMarket($E28,P$1)</f>
        <v/>
      </c>
      <c r="Q28" t="str">
        <f>_xll.RssFOPMarket($E28,Q$1)</f>
        <v/>
      </c>
    </row>
    <row r="29" spans="1:17" x14ac:dyDescent="0.4">
      <c r="A29" t="str">
        <f t="shared" si="0"/>
        <v>N225MOP</v>
      </c>
      <c r="B29" t="str">
        <f t="shared" si="0"/>
        <v>202310#4</v>
      </c>
      <c r="C29" t="str">
        <f t="shared" si="0"/>
        <v>C</v>
      </c>
      <c r="D29">
        <f t="shared" si="1"/>
        <v>33125</v>
      </c>
      <c r="E29" t="str">
        <f>_xll.RssFOPCode(A29,B29,IF(C29="C",1,IF(C29="P",2,"")),D29)</f>
        <v>マーケットスピード II にログインして「接続中」の状態に変更してから利用してください。</v>
      </c>
      <c r="F29" t="str">
        <f>_xll.RssFOPMarket($E29,F$1)</f>
        <v/>
      </c>
      <c r="G29" t="str">
        <f>_xll.RssFOPMarket($E29,G$1)</f>
        <v/>
      </c>
      <c r="H29" t="str">
        <f>_xll.RssFOPMarket($E29,H$1)</f>
        <v/>
      </c>
      <c r="I29" t="str">
        <f>_xll.RssFOPMarket($E29,I$1)</f>
        <v/>
      </c>
      <c r="J29" t="str">
        <f>_xll.RssFOPMarket($E29,J$1)</f>
        <v/>
      </c>
      <c r="K29" t="str">
        <f>_xll.RssFOPMarket($E29,K$1)</f>
        <v/>
      </c>
      <c r="L29" t="str">
        <f>_xll.RssFOPMarket($E29,L$1)</f>
        <v/>
      </c>
      <c r="M29" t="str">
        <f>_xll.RssFOPMarket($E29,M$1)</f>
        <v/>
      </c>
      <c r="N29" t="str">
        <f>_xll.RssFOPMarket($E29,N$1)</f>
        <v/>
      </c>
      <c r="O29" t="str">
        <f>_xll.RssFOPMarket($E29,O$1)</f>
        <v/>
      </c>
      <c r="P29" t="str">
        <f>_xll.RssFOPMarket($E29,P$1)</f>
        <v/>
      </c>
      <c r="Q29" t="str">
        <f>_xll.RssFOPMarket($E29,Q$1)</f>
        <v/>
      </c>
    </row>
    <row r="30" spans="1:17" x14ac:dyDescent="0.4">
      <c r="A30" t="str">
        <f t="shared" si="0"/>
        <v>N225MOP</v>
      </c>
      <c r="B30" t="str">
        <f t="shared" si="0"/>
        <v>202310#4</v>
      </c>
      <c r="C30" t="str">
        <f t="shared" si="0"/>
        <v>C</v>
      </c>
      <c r="D30">
        <f t="shared" si="1"/>
        <v>33000</v>
      </c>
      <c r="E30" t="str">
        <f>_xll.RssFOPCode(A30,B30,IF(C30="C",1,IF(C30="P",2,"")),D30)</f>
        <v>マーケットスピード II にログインして「接続中」の状態に変更してから利用してください。</v>
      </c>
      <c r="F30" t="str">
        <f>_xll.RssFOPMarket($E30,F$1)</f>
        <v/>
      </c>
      <c r="G30" t="str">
        <f>_xll.RssFOPMarket($E30,G$1)</f>
        <v/>
      </c>
      <c r="H30" t="str">
        <f>_xll.RssFOPMarket($E30,H$1)</f>
        <v/>
      </c>
      <c r="I30" t="str">
        <f>_xll.RssFOPMarket($E30,I$1)</f>
        <v/>
      </c>
      <c r="J30" t="str">
        <f>_xll.RssFOPMarket($E30,J$1)</f>
        <v/>
      </c>
      <c r="K30" t="str">
        <f>_xll.RssFOPMarket($E30,K$1)</f>
        <v/>
      </c>
      <c r="L30" t="str">
        <f>_xll.RssFOPMarket($E30,L$1)</f>
        <v/>
      </c>
      <c r="M30" t="str">
        <f>_xll.RssFOPMarket($E30,M$1)</f>
        <v/>
      </c>
      <c r="N30" t="str">
        <f>_xll.RssFOPMarket($E30,N$1)</f>
        <v/>
      </c>
      <c r="O30" t="str">
        <f>_xll.RssFOPMarket($E30,O$1)</f>
        <v/>
      </c>
      <c r="P30" t="str">
        <f>_xll.RssFOPMarket($E30,P$1)</f>
        <v/>
      </c>
      <c r="Q30" t="str">
        <f>_xll.RssFOPMarket($E30,Q$1)</f>
        <v/>
      </c>
    </row>
    <row r="31" spans="1:17" x14ac:dyDescent="0.4">
      <c r="A31" t="str">
        <f t="shared" si="0"/>
        <v>N225MOP</v>
      </c>
      <c r="B31" t="str">
        <f t="shared" si="0"/>
        <v>202310#4</v>
      </c>
      <c r="C31" t="str">
        <f t="shared" si="0"/>
        <v>C</v>
      </c>
      <c r="D31">
        <f t="shared" si="1"/>
        <v>32875</v>
      </c>
      <c r="E31" t="str">
        <f>_xll.RssFOPCode(A31,B31,IF(C31="C",1,IF(C31="P",2,"")),D31)</f>
        <v>マーケットスピード II にログインして「接続中」の状態に変更してから利用してください。</v>
      </c>
      <c r="F31" t="str">
        <f>_xll.RssFOPMarket($E31,F$1)</f>
        <v/>
      </c>
      <c r="G31" t="str">
        <f>_xll.RssFOPMarket($E31,G$1)</f>
        <v/>
      </c>
      <c r="H31" t="str">
        <f>_xll.RssFOPMarket($E31,H$1)</f>
        <v/>
      </c>
      <c r="I31" t="str">
        <f>_xll.RssFOPMarket($E31,I$1)</f>
        <v/>
      </c>
      <c r="J31" t="str">
        <f>_xll.RssFOPMarket($E31,J$1)</f>
        <v/>
      </c>
      <c r="K31" t="str">
        <f>_xll.RssFOPMarket($E31,K$1)</f>
        <v/>
      </c>
      <c r="L31" t="str">
        <f>_xll.RssFOPMarket($E31,L$1)</f>
        <v/>
      </c>
      <c r="M31" t="str">
        <f>_xll.RssFOPMarket($E31,M$1)</f>
        <v/>
      </c>
      <c r="N31" t="str">
        <f>_xll.RssFOPMarket($E31,N$1)</f>
        <v/>
      </c>
      <c r="O31" t="str">
        <f>_xll.RssFOPMarket($E31,O$1)</f>
        <v/>
      </c>
      <c r="P31" t="str">
        <f>_xll.RssFOPMarket($E31,P$1)</f>
        <v/>
      </c>
      <c r="Q31" t="str">
        <f>_xll.RssFOPMarket($E31,Q$1)</f>
        <v/>
      </c>
    </row>
    <row r="32" spans="1:17" x14ac:dyDescent="0.4">
      <c r="A32" t="str">
        <f t="shared" si="0"/>
        <v>N225MOP</v>
      </c>
      <c r="B32" t="str">
        <f t="shared" si="0"/>
        <v>202310#4</v>
      </c>
      <c r="C32" t="str">
        <f t="shared" si="0"/>
        <v>C</v>
      </c>
      <c r="D32">
        <f t="shared" si="1"/>
        <v>32750</v>
      </c>
      <c r="E32" t="str">
        <f>_xll.RssFOPCode(A32,B32,IF(C32="C",1,IF(C32="P",2,"")),D32)</f>
        <v>マーケットスピード II にログインして「接続中」の状態に変更してから利用してください。</v>
      </c>
      <c r="F32" t="str">
        <f>_xll.RssFOPMarket($E32,F$1)</f>
        <v/>
      </c>
      <c r="G32" t="str">
        <f>_xll.RssFOPMarket($E32,G$1)</f>
        <v/>
      </c>
      <c r="H32" t="str">
        <f>_xll.RssFOPMarket($E32,H$1)</f>
        <v/>
      </c>
      <c r="I32" t="str">
        <f>_xll.RssFOPMarket($E32,I$1)</f>
        <v/>
      </c>
      <c r="J32" t="str">
        <f>_xll.RssFOPMarket($E32,J$1)</f>
        <v/>
      </c>
      <c r="K32" t="str">
        <f>_xll.RssFOPMarket($E32,K$1)</f>
        <v/>
      </c>
      <c r="L32" t="str">
        <f>_xll.RssFOPMarket($E32,L$1)</f>
        <v/>
      </c>
      <c r="M32" t="str">
        <f>_xll.RssFOPMarket($E32,M$1)</f>
        <v/>
      </c>
      <c r="N32" t="str">
        <f>_xll.RssFOPMarket($E32,N$1)</f>
        <v/>
      </c>
      <c r="O32" t="str">
        <f>_xll.RssFOPMarket($E32,O$1)</f>
        <v/>
      </c>
      <c r="P32" t="str">
        <f>_xll.RssFOPMarket($E32,P$1)</f>
        <v/>
      </c>
      <c r="Q32" t="str">
        <f>_xll.RssFOPMarket($E32,Q$1)</f>
        <v/>
      </c>
    </row>
    <row r="33" spans="1:17" x14ac:dyDescent="0.4">
      <c r="A33" t="str">
        <f t="shared" si="0"/>
        <v>N225MOP</v>
      </c>
      <c r="B33" t="str">
        <f t="shared" si="0"/>
        <v>202310#4</v>
      </c>
      <c r="C33" t="str">
        <f t="shared" si="0"/>
        <v>C</v>
      </c>
      <c r="D33">
        <f t="shared" si="1"/>
        <v>32625</v>
      </c>
      <c r="E33" t="str">
        <f>_xll.RssFOPCode(A33,B33,IF(C33="C",1,IF(C33="P",2,"")),D33)</f>
        <v>マーケットスピード II にログインして「接続中」の状態に変更してから利用してください。</v>
      </c>
      <c r="F33" t="str">
        <f>_xll.RssFOPMarket($E33,F$1)</f>
        <v/>
      </c>
      <c r="G33" t="str">
        <f>_xll.RssFOPMarket($E33,G$1)</f>
        <v/>
      </c>
      <c r="H33" t="str">
        <f>_xll.RssFOPMarket($E33,H$1)</f>
        <v/>
      </c>
      <c r="I33" t="str">
        <f>_xll.RssFOPMarket($E33,I$1)</f>
        <v/>
      </c>
      <c r="J33" t="str">
        <f>_xll.RssFOPMarket($E33,J$1)</f>
        <v/>
      </c>
      <c r="K33" t="str">
        <f>_xll.RssFOPMarket($E33,K$1)</f>
        <v/>
      </c>
      <c r="L33" t="str">
        <f>_xll.RssFOPMarket($E33,L$1)</f>
        <v/>
      </c>
      <c r="M33" t="str">
        <f>_xll.RssFOPMarket($E33,M$1)</f>
        <v/>
      </c>
      <c r="N33" t="str">
        <f>_xll.RssFOPMarket($E33,N$1)</f>
        <v/>
      </c>
      <c r="O33" t="str">
        <f>_xll.RssFOPMarket($E33,O$1)</f>
        <v/>
      </c>
      <c r="P33" t="str">
        <f>_xll.RssFOPMarket($E33,P$1)</f>
        <v/>
      </c>
      <c r="Q33" t="str">
        <f>_xll.RssFOPMarket($E33,Q$1)</f>
        <v/>
      </c>
    </row>
    <row r="34" spans="1:17" x14ac:dyDescent="0.4">
      <c r="A34" t="str">
        <f t="shared" si="0"/>
        <v>N225MOP</v>
      </c>
      <c r="B34" t="str">
        <f t="shared" si="0"/>
        <v>202310#4</v>
      </c>
      <c r="C34" t="str">
        <f t="shared" si="0"/>
        <v>C</v>
      </c>
      <c r="D34">
        <f t="shared" si="1"/>
        <v>32500</v>
      </c>
      <c r="E34" t="str">
        <f>_xll.RssFOPCode(A34,B34,IF(C34="C",1,IF(C34="P",2,"")),D34)</f>
        <v>マーケットスピード II にログインして「接続中」の状態に変更してから利用してください。</v>
      </c>
      <c r="F34" t="str">
        <f>_xll.RssFOPMarket($E34,F$1)</f>
        <v/>
      </c>
      <c r="G34" t="str">
        <f>_xll.RssFOPMarket($E34,G$1)</f>
        <v/>
      </c>
      <c r="H34" t="str">
        <f>_xll.RssFOPMarket($E34,H$1)</f>
        <v/>
      </c>
      <c r="I34" t="str">
        <f>_xll.RssFOPMarket($E34,I$1)</f>
        <v/>
      </c>
      <c r="J34" t="str">
        <f>_xll.RssFOPMarket($E34,J$1)</f>
        <v/>
      </c>
      <c r="K34" t="str">
        <f>_xll.RssFOPMarket($E34,K$1)</f>
        <v/>
      </c>
      <c r="L34" t="str">
        <f>_xll.RssFOPMarket($E34,L$1)</f>
        <v/>
      </c>
      <c r="M34" t="str">
        <f>_xll.RssFOPMarket($E34,M$1)</f>
        <v/>
      </c>
      <c r="N34" t="str">
        <f>_xll.RssFOPMarket($E34,N$1)</f>
        <v/>
      </c>
      <c r="O34" t="str">
        <f>_xll.RssFOPMarket($E34,O$1)</f>
        <v/>
      </c>
      <c r="P34" t="str">
        <f>_xll.RssFOPMarket($E34,P$1)</f>
        <v/>
      </c>
      <c r="Q34" t="str">
        <f>_xll.RssFOPMarket($E34,Q$1)</f>
        <v/>
      </c>
    </row>
    <row r="35" spans="1:17" x14ac:dyDescent="0.4">
      <c r="A35" t="str">
        <f t="shared" si="0"/>
        <v>N225MOP</v>
      </c>
      <c r="B35" t="str">
        <f t="shared" si="0"/>
        <v>202310#4</v>
      </c>
      <c r="C35" t="str">
        <f t="shared" si="0"/>
        <v>C</v>
      </c>
      <c r="D35">
        <f t="shared" si="1"/>
        <v>32375</v>
      </c>
      <c r="E35" t="str">
        <f>_xll.RssFOPCode(A35,B35,IF(C35="C",1,IF(C35="P",2,"")),D35)</f>
        <v>マーケットスピード II にログインして「接続中」の状態に変更してから利用してください。</v>
      </c>
      <c r="F35" t="str">
        <f>_xll.RssFOPMarket($E35,F$1)</f>
        <v/>
      </c>
      <c r="G35" t="str">
        <f>_xll.RssFOPMarket($E35,G$1)</f>
        <v/>
      </c>
      <c r="H35" t="str">
        <f>_xll.RssFOPMarket($E35,H$1)</f>
        <v/>
      </c>
      <c r="I35" t="str">
        <f>_xll.RssFOPMarket($E35,I$1)</f>
        <v/>
      </c>
      <c r="J35" t="str">
        <f>_xll.RssFOPMarket($E35,J$1)</f>
        <v/>
      </c>
      <c r="K35" t="str">
        <f>_xll.RssFOPMarket($E35,K$1)</f>
        <v/>
      </c>
      <c r="L35" t="str">
        <f>_xll.RssFOPMarket($E35,L$1)</f>
        <v/>
      </c>
      <c r="M35" t="str">
        <f>_xll.RssFOPMarket($E35,M$1)</f>
        <v/>
      </c>
      <c r="N35" t="str">
        <f>_xll.RssFOPMarket($E35,N$1)</f>
        <v/>
      </c>
      <c r="O35" t="str">
        <f>_xll.RssFOPMarket($E35,O$1)</f>
        <v/>
      </c>
      <c r="P35" t="str">
        <f>_xll.RssFOPMarket($E35,P$1)</f>
        <v/>
      </c>
      <c r="Q35" t="str">
        <f>_xll.RssFOPMarket($E35,Q$1)</f>
        <v/>
      </c>
    </row>
    <row r="36" spans="1:17" x14ac:dyDescent="0.4">
      <c r="A36" t="str">
        <f t="shared" si="0"/>
        <v>N225MOP</v>
      </c>
      <c r="B36" t="str">
        <f t="shared" si="0"/>
        <v>202310#4</v>
      </c>
      <c r="C36" t="str">
        <f t="shared" si="0"/>
        <v>C</v>
      </c>
      <c r="D36">
        <f t="shared" si="1"/>
        <v>32250</v>
      </c>
      <c r="E36" t="str">
        <f>_xll.RssFOPCode(A36,B36,IF(C36="C",1,IF(C36="P",2,"")),D36)</f>
        <v>マーケットスピード II にログインして「接続中」の状態に変更してから利用してください。</v>
      </c>
      <c r="F36" t="str">
        <f>_xll.RssFOPMarket($E36,F$1)</f>
        <v/>
      </c>
      <c r="G36" t="str">
        <f>_xll.RssFOPMarket($E36,G$1)</f>
        <v/>
      </c>
      <c r="H36" t="str">
        <f>_xll.RssFOPMarket($E36,H$1)</f>
        <v/>
      </c>
      <c r="I36" t="str">
        <f>_xll.RssFOPMarket($E36,I$1)</f>
        <v/>
      </c>
      <c r="J36" t="str">
        <f>_xll.RssFOPMarket($E36,J$1)</f>
        <v/>
      </c>
      <c r="K36" t="str">
        <f>_xll.RssFOPMarket($E36,K$1)</f>
        <v/>
      </c>
      <c r="L36" t="str">
        <f>_xll.RssFOPMarket($E36,L$1)</f>
        <v/>
      </c>
      <c r="M36" t="str">
        <f>_xll.RssFOPMarket($E36,M$1)</f>
        <v/>
      </c>
      <c r="N36" t="str">
        <f>_xll.RssFOPMarket($E36,N$1)</f>
        <v/>
      </c>
      <c r="O36" t="str">
        <f>_xll.RssFOPMarket($E36,O$1)</f>
        <v/>
      </c>
      <c r="P36" t="str">
        <f>_xll.RssFOPMarket($E36,P$1)</f>
        <v/>
      </c>
      <c r="Q36" t="str">
        <f>_xll.RssFOPMarket($E36,Q$1)</f>
        <v/>
      </c>
    </row>
    <row r="37" spans="1:17" x14ac:dyDescent="0.4">
      <c r="A37" t="str">
        <f t="shared" si="0"/>
        <v>N225MOP</v>
      </c>
      <c r="B37" t="str">
        <f t="shared" si="0"/>
        <v>202310#4</v>
      </c>
      <c r="C37" t="str">
        <f t="shared" si="0"/>
        <v>C</v>
      </c>
      <c r="D37">
        <f t="shared" si="1"/>
        <v>32125</v>
      </c>
      <c r="E37" t="str">
        <f>_xll.RssFOPCode(A37,B37,IF(C37="C",1,IF(C37="P",2,"")),D37)</f>
        <v>マーケットスピード II にログインして「接続中」の状態に変更してから利用してください。</v>
      </c>
      <c r="F37" t="str">
        <f>_xll.RssFOPMarket($E37,F$1)</f>
        <v/>
      </c>
      <c r="G37" t="str">
        <f>_xll.RssFOPMarket($E37,G$1)</f>
        <v/>
      </c>
      <c r="H37" t="str">
        <f>_xll.RssFOPMarket($E37,H$1)</f>
        <v/>
      </c>
      <c r="I37" t="str">
        <f>_xll.RssFOPMarket($E37,I$1)</f>
        <v/>
      </c>
      <c r="J37" t="str">
        <f>_xll.RssFOPMarket($E37,J$1)</f>
        <v/>
      </c>
      <c r="K37" t="str">
        <f>_xll.RssFOPMarket($E37,K$1)</f>
        <v/>
      </c>
      <c r="L37" t="str">
        <f>_xll.RssFOPMarket($E37,L$1)</f>
        <v/>
      </c>
      <c r="M37" t="str">
        <f>_xll.RssFOPMarket($E37,M$1)</f>
        <v/>
      </c>
      <c r="N37" t="str">
        <f>_xll.RssFOPMarket($E37,N$1)</f>
        <v/>
      </c>
      <c r="O37" t="str">
        <f>_xll.RssFOPMarket($E37,O$1)</f>
        <v/>
      </c>
      <c r="P37" t="str">
        <f>_xll.RssFOPMarket($E37,P$1)</f>
        <v/>
      </c>
      <c r="Q37" t="str">
        <f>_xll.RssFOPMarket($E37,Q$1)</f>
        <v/>
      </c>
    </row>
    <row r="38" spans="1:17" x14ac:dyDescent="0.4">
      <c r="A38" t="str">
        <f t="shared" si="0"/>
        <v>N225MOP</v>
      </c>
      <c r="B38" t="str">
        <f t="shared" si="0"/>
        <v>202310#4</v>
      </c>
      <c r="C38" t="s">
        <v>15</v>
      </c>
      <c r="D38">
        <f t="shared" si="1"/>
        <v>32000</v>
      </c>
      <c r="E38" t="str">
        <f>_xll.RssFOPCode(A38,B38,IF(C38="C",1,IF(C38="P",2,"")),D38)</f>
        <v>マーケットスピード II にログインして「接続中」の状態に変更してから利用してください。</v>
      </c>
      <c r="F38" t="str">
        <f>_xll.RssFOPMarket($E38,F$1)</f>
        <v/>
      </c>
      <c r="G38" t="str">
        <f>_xll.RssFOPMarket($E38,G$1)</f>
        <v/>
      </c>
      <c r="H38" t="str">
        <f>_xll.RssFOPMarket($E38,H$1)</f>
        <v/>
      </c>
      <c r="I38" t="str">
        <f>_xll.RssFOPMarket($E38,I$1)</f>
        <v/>
      </c>
      <c r="J38" t="str">
        <f>_xll.RssFOPMarket($E38,J$1)</f>
        <v/>
      </c>
      <c r="K38" t="str">
        <f>_xll.RssFOPMarket($E38,K$1)</f>
        <v/>
      </c>
      <c r="L38" t="str">
        <f>_xll.RssFOPMarket($E38,L$1)</f>
        <v/>
      </c>
      <c r="M38" t="str">
        <f>_xll.RssFOPMarket($E38,M$1)</f>
        <v/>
      </c>
      <c r="N38" t="str">
        <f>_xll.RssFOPMarket($E38,N$1)</f>
        <v/>
      </c>
      <c r="O38" t="str">
        <f>_xll.RssFOPMarket($E38,O$1)</f>
        <v/>
      </c>
      <c r="P38" t="str">
        <f>_xll.RssFOPMarket($E38,P$1)</f>
        <v/>
      </c>
      <c r="Q38" t="str">
        <f>_xll.RssFOPMarket($E38,Q$1)</f>
        <v/>
      </c>
    </row>
    <row r="39" spans="1:17" x14ac:dyDescent="0.4">
      <c r="A39" t="str">
        <f t="shared" si="0"/>
        <v>N225MOP</v>
      </c>
      <c r="B39" t="str">
        <f t="shared" si="0"/>
        <v>202310#4</v>
      </c>
      <c r="C39" t="str">
        <f t="shared" si="0"/>
        <v>C</v>
      </c>
      <c r="D39">
        <f t="shared" si="1"/>
        <v>31875</v>
      </c>
      <c r="E39" t="str">
        <f>_xll.RssFOPCode(A39,B39,IF(C39="C",1,IF(C39="P",2,"")),D39)</f>
        <v>マーケットスピード II にログインして「接続中」の状態に変更してから利用してください。</v>
      </c>
      <c r="F39" t="str">
        <f>_xll.RssFOPMarket($E39,F$1)</f>
        <v/>
      </c>
      <c r="G39" t="str">
        <f>_xll.RssFOPMarket($E39,G$1)</f>
        <v/>
      </c>
      <c r="H39" t="str">
        <f>_xll.RssFOPMarket($E39,H$1)</f>
        <v/>
      </c>
      <c r="I39" t="str">
        <f>_xll.RssFOPMarket($E39,I$1)</f>
        <v/>
      </c>
      <c r="J39" t="str">
        <f>_xll.RssFOPMarket($E39,J$1)</f>
        <v/>
      </c>
      <c r="K39" t="str">
        <f>_xll.RssFOPMarket($E39,K$1)</f>
        <v/>
      </c>
      <c r="L39" t="str">
        <f>_xll.RssFOPMarket($E39,L$1)</f>
        <v/>
      </c>
      <c r="M39" t="str">
        <f>_xll.RssFOPMarket($E39,M$1)</f>
        <v/>
      </c>
      <c r="N39" t="str">
        <f>_xll.RssFOPMarket($E39,N$1)</f>
        <v/>
      </c>
      <c r="O39" t="str">
        <f>_xll.RssFOPMarket($E39,O$1)</f>
        <v/>
      </c>
      <c r="P39" t="str">
        <f>_xll.RssFOPMarket($E39,P$1)</f>
        <v/>
      </c>
      <c r="Q39" t="str">
        <f>_xll.RssFOPMarket($E39,Q$1)</f>
        <v/>
      </c>
    </row>
    <row r="40" spans="1:17" x14ac:dyDescent="0.4">
      <c r="A40" t="str">
        <f t="shared" si="0"/>
        <v>N225MOP</v>
      </c>
      <c r="B40" t="str">
        <f t="shared" si="0"/>
        <v>202310#4</v>
      </c>
      <c r="C40" t="str">
        <f t="shared" si="0"/>
        <v>C</v>
      </c>
      <c r="D40">
        <f t="shared" si="1"/>
        <v>31750</v>
      </c>
      <c r="E40" t="str">
        <f>_xll.RssFOPCode(A40,B40,IF(C40="C",1,IF(C40="P",2,"")),D40)</f>
        <v>マーケットスピード II にログインして「接続中」の状態に変更してから利用してください。</v>
      </c>
      <c r="F40" t="str">
        <f>_xll.RssFOPMarket($E40,F$1)</f>
        <v/>
      </c>
      <c r="G40" t="str">
        <f>_xll.RssFOPMarket($E40,G$1)</f>
        <v/>
      </c>
      <c r="H40" t="str">
        <f>_xll.RssFOPMarket($E40,H$1)</f>
        <v/>
      </c>
      <c r="I40" t="str">
        <f>_xll.RssFOPMarket($E40,I$1)</f>
        <v/>
      </c>
      <c r="J40" t="str">
        <f>_xll.RssFOPMarket($E40,J$1)</f>
        <v/>
      </c>
      <c r="K40" t="str">
        <f>_xll.RssFOPMarket($E40,K$1)</f>
        <v/>
      </c>
      <c r="L40" t="str">
        <f>_xll.RssFOPMarket($E40,L$1)</f>
        <v/>
      </c>
      <c r="M40" t="str">
        <f>_xll.RssFOPMarket($E40,M$1)</f>
        <v/>
      </c>
      <c r="N40" t="str">
        <f>_xll.RssFOPMarket($E40,N$1)</f>
        <v/>
      </c>
      <c r="O40" t="str">
        <f>_xll.RssFOPMarket($E40,O$1)</f>
        <v/>
      </c>
      <c r="P40" t="str">
        <f>_xll.RssFOPMarket($E40,P$1)</f>
        <v/>
      </c>
      <c r="Q40" t="str">
        <f>_xll.RssFOPMarket($E40,Q$1)</f>
        <v/>
      </c>
    </row>
    <row r="41" spans="1:17" x14ac:dyDescent="0.4">
      <c r="A41" t="str">
        <f t="shared" si="0"/>
        <v>N225MOP</v>
      </c>
      <c r="B41" t="str">
        <f t="shared" si="0"/>
        <v>202310#4</v>
      </c>
      <c r="C41" t="str">
        <f t="shared" si="0"/>
        <v>C</v>
      </c>
      <c r="D41">
        <f t="shared" si="1"/>
        <v>31625</v>
      </c>
      <c r="E41" t="str">
        <f>_xll.RssFOPCode(A41,B41,IF(C41="C",1,IF(C41="P",2,"")),D41)</f>
        <v>マーケットスピード II にログインして「接続中」の状態に変更してから利用してください。</v>
      </c>
      <c r="F41" t="str">
        <f>_xll.RssFOPMarket($E41,F$1)</f>
        <v/>
      </c>
      <c r="G41" t="str">
        <f>_xll.RssFOPMarket($E41,G$1)</f>
        <v/>
      </c>
      <c r="H41" t="str">
        <f>_xll.RssFOPMarket($E41,H$1)</f>
        <v/>
      </c>
      <c r="I41" t="str">
        <f>_xll.RssFOPMarket($E41,I$1)</f>
        <v/>
      </c>
      <c r="J41" t="str">
        <f>_xll.RssFOPMarket($E41,J$1)</f>
        <v/>
      </c>
      <c r="K41" t="str">
        <f>_xll.RssFOPMarket($E41,K$1)</f>
        <v/>
      </c>
      <c r="L41" t="str">
        <f>_xll.RssFOPMarket($E41,L$1)</f>
        <v/>
      </c>
      <c r="M41" t="str">
        <f>_xll.RssFOPMarket($E41,M$1)</f>
        <v/>
      </c>
      <c r="N41" t="str">
        <f>_xll.RssFOPMarket($E41,N$1)</f>
        <v/>
      </c>
      <c r="O41" t="str">
        <f>_xll.RssFOPMarket($E41,O$1)</f>
        <v/>
      </c>
      <c r="P41" t="str">
        <f>_xll.RssFOPMarket($E41,P$1)</f>
        <v/>
      </c>
      <c r="Q41" t="str">
        <f>_xll.RssFOPMarket($E41,Q$1)</f>
        <v/>
      </c>
    </row>
    <row r="42" spans="1:17" x14ac:dyDescent="0.4">
      <c r="A42" t="str">
        <f t="shared" si="0"/>
        <v>N225MOP</v>
      </c>
      <c r="B42" t="str">
        <f t="shared" si="0"/>
        <v>202310#4</v>
      </c>
      <c r="C42" t="str">
        <f t="shared" si="0"/>
        <v>C</v>
      </c>
      <c r="D42">
        <f t="shared" si="1"/>
        <v>31500</v>
      </c>
      <c r="E42" t="str">
        <f>_xll.RssFOPCode(A42,B42,IF(C42="C",1,IF(C42="P",2,"")),D42)</f>
        <v>マーケットスピード II にログインして「接続中」の状態に変更してから利用してください。</v>
      </c>
      <c r="F42" t="str">
        <f>_xll.RssFOPMarket($E42,F$1)</f>
        <v/>
      </c>
      <c r="G42" t="str">
        <f>_xll.RssFOPMarket($E42,G$1)</f>
        <v/>
      </c>
      <c r="H42" t="str">
        <f>_xll.RssFOPMarket($E42,H$1)</f>
        <v/>
      </c>
      <c r="I42" t="str">
        <f>_xll.RssFOPMarket($E42,I$1)</f>
        <v/>
      </c>
      <c r="J42" t="str">
        <f>_xll.RssFOPMarket($E42,J$1)</f>
        <v/>
      </c>
      <c r="K42" t="str">
        <f>_xll.RssFOPMarket($E42,K$1)</f>
        <v/>
      </c>
      <c r="L42" t="str">
        <f>_xll.RssFOPMarket($E42,L$1)</f>
        <v/>
      </c>
      <c r="M42" t="str">
        <f>_xll.RssFOPMarket($E42,M$1)</f>
        <v/>
      </c>
      <c r="N42" t="str">
        <f>_xll.RssFOPMarket($E42,N$1)</f>
        <v/>
      </c>
      <c r="O42" t="str">
        <f>_xll.RssFOPMarket($E42,O$1)</f>
        <v/>
      </c>
      <c r="P42" t="str">
        <f>_xll.RssFOPMarket($E42,P$1)</f>
        <v/>
      </c>
      <c r="Q42" t="str">
        <f>_xll.RssFOPMarket($E42,Q$1)</f>
        <v/>
      </c>
    </row>
    <row r="43" spans="1:17" x14ac:dyDescent="0.4">
      <c r="A43" t="str">
        <f t="shared" si="0"/>
        <v>N225MOP</v>
      </c>
      <c r="B43" t="str">
        <f t="shared" si="0"/>
        <v>202310#4</v>
      </c>
      <c r="C43" t="str">
        <f t="shared" si="0"/>
        <v>C</v>
      </c>
      <c r="D43">
        <f t="shared" si="1"/>
        <v>31375</v>
      </c>
      <c r="E43" t="str">
        <f>_xll.RssFOPCode(A43,B43,IF(C43="C",1,IF(C43="P",2,"")),D43)</f>
        <v>マーケットスピード II にログインして「接続中」の状態に変更してから利用してください。</v>
      </c>
      <c r="F43" t="str">
        <f>_xll.RssFOPMarket($E43,F$1)</f>
        <v/>
      </c>
      <c r="G43" t="str">
        <f>_xll.RssFOPMarket($E43,G$1)</f>
        <v/>
      </c>
      <c r="H43" t="str">
        <f>_xll.RssFOPMarket($E43,H$1)</f>
        <v/>
      </c>
      <c r="I43" t="str">
        <f>_xll.RssFOPMarket($E43,I$1)</f>
        <v/>
      </c>
      <c r="J43" t="str">
        <f>_xll.RssFOPMarket($E43,J$1)</f>
        <v/>
      </c>
      <c r="K43" t="str">
        <f>_xll.RssFOPMarket($E43,K$1)</f>
        <v/>
      </c>
      <c r="L43" t="str">
        <f>_xll.RssFOPMarket($E43,L$1)</f>
        <v/>
      </c>
      <c r="M43" t="str">
        <f>_xll.RssFOPMarket($E43,M$1)</f>
        <v/>
      </c>
      <c r="N43" t="str">
        <f>_xll.RssFOPMarket($E43,N$1)</f>
        <v/>
      </c>
      <c r="O43" t="str">
        <f>_xll.RssFOPMarket($E43,O$1)</f>
        <v/>
      </c>
      <c r="P43" t="str">
        <f>_xll.RssFOPMarket($E43,P$1)</f>
        <v/>
      </c>
      <c r="Q43" t="str">
        <f>_xll.RssFOPMarket($E43,Q$1)</f>
        <v/>
      </c>
    </row>
    <row r="44" spans="1:17" x14ac:dyDescent="0.4">
      <c r="A44" t="str">
        <f t="shared" si="0"/>
        <v>N225MOP</v>
      </c>
      <c r="B44" t="str">
        <f t="shared" si="0"/>
        <v>202310#4</v>
      </c>
      <c r="C44" t="str">
        <f t="shared" si="0"/>
        <v>C</v>
      </c>
      <c r="D44">
        <f t="shared" si="1"/>
        <v>31250</v>
      </c>
      <c r="E44" t="str">
        <f>_xll.RssFOPCode(A44,B44,IF(C44="C",1,IF(C44="P",2,"")),D44)</f>
        <v>マーケットスピード II にログインして「接続中」の状態に変更してから利用してください。</v>
      </c>
      <c r="F44" t="str">
        <f>_xll.RssFOPMarket($E44,F$1)</f>
        <v/>
      </c>
      <c r="G44" t="str">
        <f>_xll.RssFOPMarket($E44,G$1)</f>
        <v/>
      </c>
      <c r="H44" t="str">
        <f>_xll.RssFOPMarket($E44,H$1)</f>
        <v/>
      </c>
      <c r="I44" t="str">
        <f>_xll.RssFOPMarket($E44,I$1)</f>
        <v/>
      </c>
      <c r="J44" t="str">
        <f>_xll.RssFOPMarket($E44,J$1)</f>
        <v/>
      </c>
      <c r="K44" t="str">
        <f>_xll.RssFOPMarket($E44,K$1)</f>
        <v/>
      </c>
      <c r="L44" t="str">
        <f>_xll.RssFOPMarket($E44,L$1)</f>
        <v/>
      </c>
      <c r="M44" t="str">
        <f>_xll.RssFOPMarket($E44,M$1)</f>
        <v/>
      </c>
      <c r="N44" t="str">
        <f>_xll.RssFOPMarket($E44,N$1)</f>
        <v/>
      </c>
      <c r="O44" t="str">
        <f>_xll.RssFOPMarket($E44,O$1)</f>
        <v/>
      </c>
      <c r="P44" t="str">
        <f>_xll.RssFOPMarket($E44,P$1)</f>
        <v/>
      </c>
      <c r="Q44" t="str">
        <f>_xll.RssFOPMarket($E44,Q$1)</f>
        <v/>
      </c>
    </row>
    <row r="45" spans="1:17" x14ac:dyDescent="0.4">
      <c r="A45" t="str">
        <f t="shared" si="0"/>
        <v>N225MOP</v>
      </c>
      <c r="B45" t="str">
        <f t="shared" si="0"/>
        <v>202310#4</v>
      </c>
      <c r="C45" t="str">
        <f t="shared" si="0"/>
        <v>C</v>
      </c>
      <c r="D45">
        <f t="shared" si="1"/>
        <v>31125</v>
      </c>
      <c r="E45" t="str">
        <f>_xll.RssFOPCode(A45,B45,IF(C45="C",1,IF(C45="P",2,"")),D45)</f>
        <v>マーケットスピード II にログインして「接続中」の状態に変更してから利用してください。</v>
      </c>
      <c r="F45" t="str">
        <f>_xll.RssFOPMarket($E45,F$1)</f>
        <v/>
      </c>
      <c r="G45" t="str">
        <f>_xll.RssFOPMarket($E45,G$1)</f>
        <v/>
      </c>
      <c r="H45" t="str">
        <f>_xll.RssFOPMarket($E45,H$1)</f>
        <v/>
      </c>
      <c r="I45" t="str">
        <f>_xll.RssFOPMarket($E45,I$1)</f>
        <v/>
      </c>
      <c r="J45" t="str">
        <f>_xll.RssFOPMarket($E45,J$1)</f>
        <v/>
      </c>
      <c r="K45" t="str">
        <f>_xll.RssFOPMarket($E45,K$1)</f>
        <v/>
      </c>
      <c r="L45" t="str">
        <f>_xll.RssFOPMarket($E45,L$1)</f>
        <v/>
      </c>
      <c r="M45" t="str">
        <f>_xll.RssFOPMarket($E45,M$1)</f>
        <v/>
      </c>
      <c r="N45" t="str">
        <f>_xll.RssFOPMarket($E45,N$1)</f>
        <v/>
      </c>
      <c r="O45" t="str">
        <f>_xll.RssFOPMarket($E45,O$1)</f>
        <v/>
      </c>
      <c r="P45" t="str">
        <f>_xll.RssFOPMarket($E45,P$1)</f>
        <v/>
      </c>
      <c r="Q45" t="str">
        <f>_xll.RssFOPMarket($E45,Q$1)</f>
        <v/>
      </c>
    </row>
    <row r="46" spans="1:17" x14ac:dyDescent="0.4">
      <c r="A46" t="str">
        <f t="shared" si="0"/>
        <v>N225MOP</v>
      </c>
      <c r="B46" t="str">
        <f t="shared" si="0"/>
        <v>202310#4</v>
      </c>
      <c r="C46" t="str">
        <f t="shared" si="0"/>
        <v>C</v>
      </c>
      <c r="D46">
        <f t="shared" si="1"/>
        <v>31000</v>
      </c>
      <c r="E46" t="str">
        <f>_xll.RssFOPCode(A46,B46,IF(C46="C",1,IF(C46="P",2,"")),D46)</f>
        <v>マーケットスピード II にログインして「接続中」の状態に変更してから利用してください。</v>
      </c>
      <c r="F46" t="str">
        <f>_xll.RssFOPMarket($E46,F$1)</f>
        <v/>
      </c>
      <c r="G46" t="str">
        <f>_xll.RssFOPMarket($E46,G$1)</f>
        <v/>
      </c>
      <c r="H46" t="str">
        <f>_xll.RssFOPMarket($E46,H$1)</f>
        <v/>
      </c>
      <c r="I46" t="str">
        <f>_xll.RssFOPMarket($E46,I$1)</f>
        <v/>
      </c>
      <c r="J46" t="str">
        <f>_xll.RssFOPMarket($E46,J$1)</f>
        <v/>
      </c>
      <c r="K46" t="str">
        <f>_xll.RssFOPMarket($E46,K$1)</f>
        <v/>
      </c>
      <c r="L46" t="str">
        <f>_xll.RssFOPMarket($E46,L$1)</f>
        <v/>
      </c>
      <c r="M46" t="str">
        <f>_xll.RssFOPMarket($E46,M$1)</f>
        <v/>
      </c>
      <c r="N46" t="str">
        <f>_xll.RssFOPMarket($E46,N$1)</f>
        <v/>
      </c>
      <c r="O46" t="str">
        <f>_xll.RssFOPMarket($E46,O$1)</f>
        <v/>
      </c>
      <c r="P46" t="str">
        <f>_xll.RssFOPMarket($E46,P$1)</f>
        <v/>
      </c>
      <c r="Q46" t="str">
        <f>_xll.RssFOPMarket($E46,Q$1)</f>
        <v/>
      </c>
    </row>
    <row r="47" spans="1:17" x14ac:dyDescent="0.4">
      <c r="A47" t="str">
        <f t="shared" si="0"/>
        <v>N225MOP</v>
      </c>
      <c r="B47" t="str">
        <f t="shared" si="0"/>
        <v>202310#4</v>
      </c>
      <c r="C47" t="str">
        <f t="shared" si="0"/>
        <v>C</v>
      </c>
      <c r="D47">
        <f t="shared" si="1"/>
        <v>30875</v>
      </c>
      <c r="E47" t="str">
        <f>_xll.RssFOPCode(A47,B47,IF(C47="C",1,IF(C47="P",2,"")),D47)</f>
        <v>マーケットスピード II にログインして「接続中」の状態に変更してから利用してください。</v>
      </c>
      <c r="F47" t="str">
        <f>_xll.RssFOPMarket($E47,F$1)</f>
        <v/>
      </c>
      <c r="G47" t="str">
        <f>_xll.RssFOPMarket($E47,G$1)</f>
        <v/>
      </c>
      <c r="H47" t="str">
        <f>_xll.RssFOPMarket($E47,H$1)</f>
        <v/>
      </c>
      <c r="I47" t="str">
        <f>_xll.RssFOPMarket($E47,I$1)</f>
        <v/>
      </c>
      <c r="J47" t="str">
        <f>_xll.RssFOPMarket($E47,J$1)</f>
        <v/>
      </c>
      <c r="K47" t="str">
        <f>_xll.RssFOPMarket($E47,K$1)</f>
        <v/>
      </c>
      <c r="L47" t="str">
        <f>_xll.RssFOPMarket($E47,L$1)</f>
        <v/>
      </c>
      <c r="M47" t="str">
        <f>_xll.RssFOPMarket($E47,M$1)</f>
        <v/>
      </c>
      <c r="N47" t="str">
        <f>_xll.RssFOPMarket($E47,N$1)</f>
        <v/>
      </c>
      <c r="O47" t="str">
        <f>_xll.RssFOPMarket($E47,O$1)</f>
        <v/>
      </c>
      <c r="P47" t="str">
        <f>_xll.RssFOPMarket($E47,P$1)</f>
        <v/>
      </c>
      <c r="Q47" t="str">
        <f>_xll.RssFOPMarket($E47,Q$1)</f>
        <v/>
      </c>
    </row>
    <row r="48" spans="1:17" x14ac:dyDescent="0.4">
      <c r="A48" t="str">
        <f t="shared" si="0"/>
        <v>N225MOP</v>
      </c>
      <c r="B48" t="str">
        <f t="shared" si="0"/>
        <v>202310#4</v>
      </c>
      <c r="C48" t="str">
        <f t="shared" si="0"/>
        <v>C</v>
      </c>
      <c r="D48">
        <f t="shared" si="1"/>
        <v>30750</v>
      </c>
      <c r="E48" t="str">
        <f>_xll.RssFOPCode(A48,B48,IF(C48="C",1,IF(C48="P",2,"")),D48)</f>
        <v>マーケットスピード II にログインして「接続中」の状態に変更してから利用してください。</v>
      </c>
      <c r="F48" t="str">
        <f>_xll.RssFOPMarket($E48,F$1)</f>
        <v/>
      </c>
      <c r="G48" t="str">
        <f>_xll.RssFOPMarket($E48,G$1)</f>
        <v/>
      </c>
      <c r="H48" t="str">
        <f>_xll.RssFOPMarket($E48,H$1)</f>
        <v/>
      </c>
      <c r="I48" t="str">
        <f>_xll.RssFOPMarket($E48,I$1)</f>
        <v/>
      </c>
      <c r="J48" t="str">
        <f>_xll.RssFOPMarket($E48,J$1)</f>
        <v/>
      </c>
      <c r="K48" t="str">
        <f>_xll.RssFOPMarket($E48,K$1)</f>
        <v/>
      </c>
      <c r="L48" t="str">
        <f>_xll.RssFOPMarket($E48,L$1)</f>
        <v/>
      </c>
      <c r="M48" t="str">
        <f>_xll.RssFOPMarket($E48,M$1)</f>
        <v/>
      </c>
      <c r="N48" t="str">
        <f>_xll.RssFOPMarket($E48,N$1)</f>
        <v/>
      </c>
      <c r="O48" t="str">
        <f>_xll.RssFOPMarket($E48,O$1)</f>
        <v/>
      </c>
      <c r="P48" t="str">
        <f>_xll.RssFOPMarket($E48,P$1)</f>
        <v/>
      </c>
      <c r="Q48" t="str">
        <f>_xll.RssFOPMarket($E48,Q$1)</f>
        <v/>
      </c>
    </row>
    <row r="49" spans="1:17" x14ac:dyDescent="0.4">
      <c r="A49" t="str">
        <f t="shared" si="0"/>
        <v>N225MOP</v>
      </c>
      <c r="B49" t="str">
        <f t="shared" si="0"/>
        <v>202310#4</v>
      </c>
      <c r="C49" t="str">
        <f t="shared" si="0"/>
        <v>C</v>
      </c>
      <c r="D49">
        <f t="shared" si="1"/>
        <v>30625</v>
      </c>
      <c r="E49" t="str">
        <f>_xll.RssFOPCode(A49,B49,IF(C49="C",1,IF(C49="P",2,"")),D49)</f>
        <v>マーケットスピード II にログインして「接続中」の状態に変更してから利用してください。</v>
      </c>
      <c r="F49" t="str">
        <f>_xll.RssFOPMarket($E49,F$1)</f>
        <v/>
      </c>
      <c r="G49" t="str">
        <f>_xll.RssFOPMarket($E49,G$1)</f>
        <v/>
      </c>
      <c r="H49" t="str">
        <f>_xll.RssFOPMarket($E49,H$1)</f>
        <v/>
      </c>
      <c r="I49" t="str">
        <f>_xll.RssFOPMarket($E49,I$1)</f>
        <v/>
      </c>
      <c r="J49" t="str">
        <f>_xll.RssFOPMarket($E49,J$1)</f>
        <v/>
      </c>
      <c r="K49" t="str">
        <f>_xll.RssFOPMarket($E49,K$1)</f>
        <v/>
      </c>
      <c r="L49" t="str">
        <f>_xll.RssFOPMarket($E49,L$1)</f>
        <v/>
      </c>
      <c r="M49" t="str">
        <f>_xll.RssFOPMarket($E49,M$1)</f>
        <v/>
      </c>
      <c r="N49" t="str">
        <f>_xll.RssFOPMarket($E49,N$1)</f>
        <v/>
      </c>
      <c r="O49" t="str">
        <f>_xll.RssFOPMarket($E49,O$1)</f>
        <v/>
      </c>
      <c r="P49" t="str">
        <f>_xll.RssFOPMarket($E49,P$1)</f>
        <v/>
      </c>
      <c r="Q49" t="str">
        <f>_xll.RssFOPMarket($E49,Q$1)</f>
        <v/>
      </c>
    </row>
    <row r="50" spans="1:17" x14ac:dyDescent="0.4">
      <c r="A50" t="str">
        <f t="shared" si="0"/>
        <v>N225MOP</v>
      </c>
      <c r="B50" t="str">
        <f t="shared" si="0"/>
        <v>202310#4</v>
      </c>
      <c r="C50" t="str">
        <f t="shared" si="0"/>
        <v>C</v>
      </c>
      <c r="D50">
        <f t="shared" si="1"/>
        <v>30500</v>
      </c>
      <c r="E50" t="str">
        <f>_xll.RssFOPCode(A50,B50,IF(C50="C",1,IF(C50="P",2,"")),D50)</f>
        <v>マーケットスピード II にログインして「接続中」の状態に変更してから利用してください。</v>
      </c>
      <c r="F50" t="str">
        <f>_xll.RssFOPMarket($E50,F$1)</f>
        <v/>
      </c>
      <c r="G50" t="str">
        <f>_xll.RssFOPMarket($E50,G$1)</f>
        <v/>
      </c>
      <c r="H50" t="str">
        <f>_xll.RssFOPMarket($E50,H$1)</f>
        <v/>
      </c>
      <c r="I50" t="str">
        <f>_xll.RssFOPMarket($E50,I$1)</f>
        <v/>
      </c>
      <c r="J50" t="str">
        <f>_xll.RssFOPMarket($E50,J$1)</f>
        <v/>
      </c>
      <c r="K50" t="str">
        <f>_xll.RssFOPMarket($E50,K$1)</f>
        <v/>
      </c>
      <c r="L50" t="str">
        <f>_xll.RssFOPMarket($E50,L$1)</f>
        <v/>
      </c>
      <c r="M50" t="str">
        <f>_xll.RssFOPMarket($E50,M$1)</f>
        <v/>
      </c>
      <c r="N50" t="str">
        <f>_xll.RssFOPMarket($E50,N$1)</f>
        <v/>
      </c>
      <c r="O50" t="str">
        <f>_xll.RssFOPMarket($E50,O$1)</f>
        <v/>
      </c>
      <c r="P50" t="str">
        <f>_xll.RssFOPMarket($E50,P$1)</f>
        <v/>
      </c>
      <c r="Q50" t="str">
        <f>_xll.RssFOPMarket($E50,Q$1)</f>
        <v/>
      </c>
    </row>
    <row r="51" spans="1:17" x14ac:dyDescent="0.4">
      <c r="A51" t="str">
        <f t="shared" si="0"/>
        <v>N225MOP</v>
      </c>
      <c r="B51" t="str">
        <f t="shared" si="0"/>
        <v>202310#4</v>
      </c>
      <c r="C51" t="str">
        <f t="shared" si="0"/>
        <v>C</v>
      </c>
      <c r="D51">
        <f t="shared" si="1"/>
        <v>30375</v>
      </c>
      <c r="E51" t="str">
        <f>_xll.RssFOPCode(A51,B51,IF(C51="C",1,IF(C51="P",2,"")),D51)</f>
        <v>マーケットスピード II にログインして「接続中」の状態に変更してから利用してください。</v>
      </c>
      <c r="F51" t="str">
        <f>_xll.RssFOPMarket($E51,F$1)</f>
        <v/>
      </c>
      <c r="G51" t="str">
        <f>_xll.RssFOPMarket($E51,G$1)</f>
        <v/>
      </c>
      <c r="H51" t="str">
        <f>_xll.RssFOPMarket($E51,H$1)</f>
        <v/>
      </c>
      <c r="I51" t="str">
        <f>_xll.RssFOPMarket($E51,I$1)</f>
        <v/>
      </c>
      <c r="J51" t="str">
        <f>_xll.RssFOPMarket($E51,J$1)</f>
        <v/>
      </c>
      <c r="K51" t="str">
        <f>_xll.RssFOPMarket($E51,K$1)</f>
        <v/>
      </c>
      <c r="L51" t="str">
        <f>_xll.RssFOPMarket($E51,L$1)</f>
        <v/>
      </c>
      <c r="M51" t="str">
        <f>_xll.RssFOPMarket($E51,M$1)</f>
        <v/>
      </c>
      <c r="N51" t="str">
        <f>_xll.RssFOPMarket($E51,N$1)</f>
        <v/>
      </c>
      <c r="O51" t="str">
        <f>_xll.RssFOPMarket($E51,O$1)</f>
        <v/>
      </c>
      <c r="P51" t="str">
        <f>_xll.RssFOPMarket($E51,P$1)</f>
        <v/>
      </c>
      <c r="Q51" t="str">
        <f>_xll.RssFOPMarket($E51,Q$1)</f>
        <v/>
      </c>
    </row>
    <row r="52" spans="1:17" x14ac:dyDescent="0.4">
      <c r="A52" t="str">
        <f t="shared" si="0"/>
        <v>N225MOP</v>
      </c>
      <c r="B52" t="str">
        <f t="shared" si="0"/>
        <v>202310#4</v>
      </c>
      <c r="C52" t="str">
        <f t="shared" si="0"/>
        <v>C</v>
      </c>
      <c r="D52">
        <f t="shared" si="1"/>
        <v>30250</v>
      </c>
      <c r="E52" t="str">
        <f>_xll.RssFOPCode(A52,B52,IF(C52="C",1,IF(C52="P",2,"")),D52)</f>
        <v>マーケットスピード II にログインして「接続中」の状態に変更してから利用してください。</v>
      </c>
      <c r="F52" t="str">
        <f>_xll.RssFOPMarket($E52,F$1)</f>
        <v/>
      </c>
      <c r="G52" t="str">
        <f>_xll.RssFOPMarket($E52,G$1)</f>
        <v/>
      </c>
      <c r="H52" t="str">
        <f>_xll.RssFOPMarket($E52,H$1)</f>
        <v/>
      </c>
      <c r="I52" t="str">
        <f>_xll.RssFOPMarket($E52,I$1)</f>
        <v/>
      </c>
      <c r="J52" t="str">
        <f>_xll.RssFOPMarket($E52,J$1)</f>
        <v/>
      </c>
      <c r="K52" t="str">
        <f>_xll.RssFOPMarket($E52,K$1)</f>
        <v/>
      </c>
      <c r="L52" t="str">
        <f>_xll.RssFOPMarket($E52,L$1)</f>
        <v/>
      </c>
      <c r="M52" t="str">
        <f>_xll.RssFOPMarket($E52,M$1)</f>
        <v/>
      </c>
      <c r="N52" t="str">
        <f>_xll.RssFOPMarket($E52,N$1)</f>
        <v/>
      </c>
      <c r="O52" t="str">
        <f>_xll.RssFOPMarket($E52,O$1)</f>
        <v/>
      </c>
      <c r="P52" t="str">
        <f>_xll.RssFOPMarket($E52,P$1)</f>
        <v/>
      </c>
      <c r="Q52" t="str">
        <f>_xll.RssFOPMarket($E52,Q$1)</f>
        <v/>
      </c>
    </row>
    <row r="53" spans="1:17" x14ac:dyDescent="0.4">
      <c r="A53" t="str">
        <f t="shared" si="0"/>
        <v>N225MOP</v>
      </c>
      <c r="B53" t="str">
        <f t="shared" si="0"/>
        <v>202310#4</v>
      </c>
      <c r="C53" t="str">
        <f t="shared" si="0"/>
        <v>C</v>
      </c>
      <c r="D53">
        <f t="shared" si="1"/>
        <v>30125</v>
      </c>
      <c r="E53" t="str">
        <f>_xll.RssFOPCode(A53,B53,IF(C53="C",1,IF(C53="P",2,"")),D53)</f>
        <v>マーケットスピード II にログインして「接続中」の状態に変更してから利用してください。</v>
      </c>
      <c r="F53" t="str">
        <f>_xll.RssFOPMarket($E53,F$1)</f>
        <v/>
      </c>
      <c r="G53" t="str">
        <f>_xll.RssFOPMarket($E53,G$1)</f>
        <v/>
      </c>
      <c r="H53" t="str">
        <f>_xll.RssFOPMarket($E53,H$1)</f>
        <v/>
      </c>
      <c r="I53" t="str">
        <f>_xll.RssFOPMarket($E53,I$1)</f>
        <v/>
      </c>
      <c r="J53" t="str">
        <f>_xll.RssFOPMarket($E53,J$1)</f>
        <v/>
      </c>
      <c r="K53" t="str">
        <f>_xll.RssFOPMarket($E53,K$1)</f>
        <v/>
      </c>
      <c r="L53" t="str">
        <f>_xll.RssFOPMarket($E53,L$1)</f>
        <v/>
      </c>
      <c r="M53" t="str">
        <f>_xll.RssFOPMarket($E53,M$1)</f>
        <v/>
      </c>
      <c r="N53" t="str">
        <f>_xll.RssFOPMarket($E53,N$1)</f>
        <v/>
      </c>
      <c r="O53" t="str">
        <f>_xll.RssFOPMarket($E53,O$1)</f>
        <v/>
      </c>
      <c r="P53" t="str">
        <f>_xll.RssFOPMarket($E53,P$1)</f>
        <v/>
      </c>
      <c r="Q53" t="str">
        <f>_xll.RssFOPMarket($E53,Q$1)</f>
        <v/>
      </c>
    </row>
    <row r="54" spans="1:17" x14ac:dyDescent="0.4">
      <c r="A54" t="str">
        <f t="shared" si="0"/>
        <v>N225MOP</v>
      </c>
      <c r="B54" t="str">
        <f t="shared" si="0"/>
        <v>202310#4</v>
      </c>
      <c r="C54" t="str">
        <f t="shared" si="0"/>
        <v>C</v>
      </c>
      <c r="D54">
        <f t="shared" si="1"/>
        <v>30000</v>
      </c>
      <c r="E54" t="str">
        <f>_xll.RssFOPCode(A54,B54,IF(C54="C",1,IF(C54="P",2,"")),D54)</f>
        <v>マーケットスピード II にログインして「接続中」の状態に変更してから利用してください。</v>
      </c>
      <c r="F54" t="str">
        <f>_xll.RssFOPMarket($E54,F$1)</f>
        <v/>
      </c>
      <c r="G54" t="str">
        <f>_xll.RssFOPMarket($E54,G$1)</f>
        <v/>
      </c>
      <c r="H54" t="str">
        <f>_xll.RssFOPMarket($E54,H$1)</f>
        <v/>
      </c>
      <c r="I54" t="str">
        <f>_xll.RssFOPMarket($E54,I$1)</f>
        <v/>
      </c>
      <c r="J54" t="str">
        <f>_xll.RssFOPMarket($E54,J$1)</f>
        <v/>
      </c>
      <c r="K54" t="str">
        <f>_xll.RssFOPMarket($E54,K$1)</f>
        <v/>
      </c>
      <c r="L54" t="str">
        <f>_xll.RssFOPMarket($E54,L$1)</f>
        <v/>
      </c>
      <c r="M54" t="str">
        <f>_xll.RssFOPMarket($E54,M$1)</f>
        <v/>
      </c>
      <c r="N54" t="str">
        <f>_xll.RssFOPMarket($E54,N$1)</f>
        <v/>
      </c>
      <c r="O54" t="str">
        <f>_xll.RssFOPMarket($E54,O$1)</f>
        <v/>
      </c>
      <c r="P54" t="str">
        <f>_xll.RssFOPMarket($E54,P$1)</f>
        <v/>
      </c>
      <c r="Q54" t="str">
        <f>_xll.RssFOPMarket($E54,Q$1)</f>
        <v/>
      </c>
    </row>
    <row r="55" spans="1:17" x14ac:dyDescent="0.4">
      <c r="A55" t="str">
        <f t="shared" si="0"/>
        <v>N225MOP</v>
      </c>
      <c r="B55" t="str">
        <f t="shared" si="0"/>
        <v>202310#4</v>
      </c>
      <c r="C55" t="str">
        <f t="shared" si="0"/>
        <v>C</v>
      </c>
      <c r="D55">
        <f t="shared" si="1"/>
        <v>29875</v>
      </c>
      <c r="E55" t="str">
        <f>_xll.RssFOPCode(A55,B55,IF(C55="C",1,IF(C55="P",2,"")),D55)</f>
        <v>マーケットスピード II にログインして「接続中」の状態に変更してから利用してください。</v>
      </c>
      <c r="F55" t="str">
        <f>_xll.RssFOPMarket($E55,F$1)</f>
        <v/>
      </c>
      <c r="G55" t="str">
        <f>_xll.RssFOPMarket($E55,G$1)</f>
        <v/>
      </c>
      <c r="H55" t="str">
        <f>_xll.RssFOPMarket($E55,H$1)</f>
        <v/>
      </c>
      <c r="I55" t="str">
        <f>_xll.RssFOPMarket($E55,I$1)</f>
        <v/>
      </c>
      <c r="J55" t="str">
        <f>_xll.RssFOPMarket($E55,J$1)</f>
        <v/>
      </c>
      <c r="K55" t="str">
        <f>_xll.RssFOPMarket($E55,K$1)</f>
        <v/>
      </c>
      <c r="L55" t="str">
        <f>_xll.RssFOPMarket($E55,L$1)</f>
        <v/>
      </c>
      <c r="M55" t="str">
        <f>_xll.RssFOPMarket($E55,M$1)</f>
        <v/>
      </c>
      <c r="N55" t="str">
        <f>_xll.RssFOPMarket($E55,N$1)</f>
        <v/>
      </c>
      <c r="O55" t="str">
        <f>_xll.RssFOPMarket($E55,O$1)</f>
        <v/>
      </c>
      <c r="P55" t="str">
        <f>_xll.RssFOPMarket($E55,P$1)</f>
        <v/>
      </c>
      <c r="Q55" t="str">
        <f>_xll.RssFOPMarket($E55,Q$1)</f>
        <v/>
      </c>
    </row>
    <row r="56" spans="1:17" x14ac:dyDescent="0.4">
      <c r="A56" t="str">
        <f t="shared" si="0"/>
        <v>N225MOP</v>
      </c>
      <c r="B56" t="str">
        <f t="shared" si="0"/>
        <v>202310#4</v>
      </c>
      <c r="C56" t="str">
        <f t="shared" si="0"/>
        <v>C</v>
      </c>
      <c r="D56">
        <f t="shared" si="1"/>
        <v>29750</v>
      </c>
      <c r="E56" t="str">
        <f>_xll.RssFOPCode(A56,B56,IF(C56="C",1,IF(C56="P",2,"")),D56)</f>
        <v>マーケットスピード II にログインして「接続中」の状態に変更してから利用してください。</v>
      </c>
      <c r="F56" t="str">
        <f>_xll.RssFOPMarket($E56,F$1)</f>
        <v/>
      </c>
      <c r="G56" t="str">
        <f>_xll.RssFOPMarket($E56,G$1)</f>
        <v/>
      </c>
      <c r="H56" t="str">
        <f>_xll.RssFOPMarket($E56,H$1)</f>
        <v/>
      </c>
      <c r="I56" t="str">
        <f>_xll.RssFOPMarket($E56,I$1)</f>
        <v/>
      </c>
      <c r="J56" t="str">
        <f>_xll.RssFOPMarket($E56,J$1)</f>
        <v/>
      </c>
      <c r="K56" t="str">
        <f>_xll.RssFOPMarket($E56,K$1)</f>
        <v/>
      </c>
      <c r="L56" t="str">
        <f>_xll.RssFOPMarket($E56,L$1)</f>
        <v/>
      </c>
      <c r="M56" t="str">
        <f>_xll.RssFOPMarket($E56,M$1)</f>
        <v/>
      </c>
      <c r="N56" t="str">
        <f>_xll.RssFOPMarket($E56,N$1)</f>
        <v/>
      </c>
      <c r="O56" t="str">
        <f>_xll.RssFOPMarket($E56,O$1)</f>
        <v/>
      </c>
      <c r="P56" t="str">
        <f>_xll.RssFOPMarket($E56,P$1)</f>
        <v/>
      </c>
      <c r="Q56" t="str">
        <f>_xll.RssFOPMarket($E56,Q$1)</f>
        <v/>
      </c>
    </row>
    <row r="57" spans="1:17" x14ac:dyDescent="0.4">
      <c r="A57" t="str">
        <f t="shared" si="0"/>
        <v>N225MOP</v>
      </c>
      <c r="B57" t="str">
        <f t="shared" si="0"/>
        <v>202310#4</v>
      </c>
      <c r="C57" t="str">
        <f t="shared" si="0"/>
        <v>C</v>
      </c>
      <c r="D57">
        <f t="shared" si="1"/>
        <v>29625</v>
      </c>
      <c r="E57" t="str">
        <f>_xll.RssFOPCode(A57,B57,IF(C57="C",1,IF(C57="P",2,"")),D57)</f>
        <v>マーケットスピード II にログインして「接続中」の状態に変更してから利用してください。</v>
      </c>
      <c r="F57" t="str">
        <f>_xll.RssFOPMarket($E57,F$1)</f>
        <v/>
      </c>
      <c r="G57" t="str">
        <f>_xll.RssFOPMarket($E57,G$1)</f>
        <v/>
      </c>
      <c r="H57" t="str">
        <f>_xll.RssFOPMarket($E57,H$1)</f>
        <v/>
      </c>
      <c r="I57" t="str">
        <f>_xll.RssFOPMarket($E57,I$1)</f>
        <v/>
      </c>
      <c r="J57" t="str">
        <f>_xll.RssFOPMarket($E57,J$1)</f>
        <v/>
      </c>
      <c r="K57" t="str">
        <f>_xll.RssFOPMarket($E57,K$1)</f>
        <v/>
      </c>
      <c r="L57" t="str">
        <f>_xll.RssFOPMarket($E57,L$1)</f>
        <v/>
      </c>
      <c r="M57" t="str">
        <f>_xll.RssFOPMarket($E57,M$1)</f>
        <v/>
      </c>
      <c r="N57" t="str">
        <f>_xll.RssFOPMarket($E57,N$1)</f>
        <v/>
      </c>
      <c r="O57" t="str">
        <f>_xll.RssFOPMarket($E57,O$1)</f>
        <v/>
      </c>
      <c r="P57" t="str">
        <f>_xll.RssFOPMarket($E57,P$1)</f>
        <v/>
      </c>
      <c r="Q57" t="str">
        <f>_xll.RssFOPMarket($E57,Q$1)</f>
        <v/>
      </c>
    </row>
    <row r="58" spans="1:17" x14ac:dyDescent="0.4">
      <c r="A58" t="str">
        <f t="shared" si="0"/>
        <v>N225MOP</v>
      </c>
      <c r="B58" t="str">
        <f t="shared" si="0"/>
        <v>202310#4</v>
      </c>
      <c r="C58" t="str">
        <f t="shared" si="0"/>
        <v>C</v>
      </c>
      <c r="D58">
        <f t="shared" si="1"/>
        <v>29500</v>
      </c>
      <c r="E58" t="str">
        <f>_xll.RssFOPCode(A58,B58,IF(C58="C",1,IF(C58="P",2,"")),D58)</f>
        <v>マーケットスピード II にログインして「接続中」の状態に変更してから利用してください。</v>
      </c>
      <c r="F58" t="str">
        <f>_xll.RssFOPMarket($E58,F$1)</f>
        <v/>
      </c>
      <c r="G58" t="str">
        <f>_xll.RssFOPMarket($E58,G$1)</f>
        <v/>
      </c>
      <c r="H58" t="str">
        <f>_xll.RssFOPMarket($E58,H$1)</f>
        <v/>
      </c>
      <c r="I58" t="str">
        <f>_xll.RssFOPMarket($E58,I$1)</f>
        <v/>
      </c>
      <c r="J58" t="str">
        <f>_xll.RssFOPMarket($E58,J$1)</f>
        <v/>
      </c>
      <c r="K58" t="str">
        <f>_xll.RssFOPMarket($E58,K$1)</f>
        <v/>
      </c>
      <c r="L58" t="str">
        <f>_xll.RssFOPMarket($E58,L$1)</f>
        <v/>
      </c>
      <c r="M58" t="str">
        <f>_xll.RssFOPMarket($E58,M$1)</f>
        <v/>
      </c>
      <c r="N58" t="str">
        <f>_xll.RssFOPMarket($E58,N$1)</f>
        <v/>
      </c>
      <c r="O58" t="str">
        <f>_xll.RssFOPMarket($E58,O$1)</f>
        <v/>
      </c>
      <c r="P58" t="str">
        <f>_xll.RssFOPMarket($E58,P$1)</f>
        <v/>
      </c>
      <c r="Q58" t="str">
        <f>_xll.RssFOPMarket($E58,Q$1)</f>
        <v/>
      </c>
    </row>
    <row r="59" spans="1:17" x14ac:dyDescent="0.4">
      <c r="A59" t="str">
        <f t="shared" si="0"/>
        <v>N225MOP</v>
      </c>
      <c r="B59" t="str">
        <f t="shared" si="0"/>
        <v>202310#4</v>
      </c>
      <c r="C59" t="str">
        <f t="shared" si="0"/>
        <v>C</v>
      </c>
      <c r="D59">
        <f t="shared" si="1"/>
        <v>29375</v>
      </c>
      <c r="E59" t="str">
        <f>_xll.RssFOPCode(A59,B59,IF(C59="C",1,IF(C59="P",2,"")),D59)</f>
        <v>マーケットスピード II にログインして「接続中」の状態に変更してから利用してください。</v>
      </c>
      <c r="F59" t="str">
        <f>_xll.RssFOPMarket($E59,F$1)</f>
        <v/>
      </c>
      <c r="G59" t="str">
        <f>_xll.RssFOPMarket($E59,G$1)</f>
        <v/>
      </c>
      <c r="H59" t="str">
        <f>_xll.RssFOPMarket($E59,H$1)</f>
        <v/>
      </c>
      <c r="I59" t="str">
        <f>_xll.RssFOPMarket($E59,I$1)</f>
        <v/>
      </c>
      <c r="J59" t="str">
        <f>_xll.RssFOPMarket($E59,J$1)</f>
        <v/>
      </c>
      <c r="K59" t="str">
        <f>_xll.RssFOPMarket($E59,K$1)</f>
        <v/>
      </c>
      <c r="L59" t="str">
        <f>_xll.RssFOPMarket($E59,L$1)</f>
        <v/>
      </c>
      <c r="M59" t="str">
        <f>_xll.RssFOPMarket($E59,M$1)</f>
        <v/>
      </c>
      <c r="N59" t="str">
        <f>_xll.RssFOPMarket($E59,N$1)</f>
        <v/>
      </c>
      <c r="O59" t="str">
        <f>_xll.RssFOPMarket($E59,O$1)</f>
        <v/>
      </c>
      <c r="P59" t="str">
        <f>_xll.RssFOPMarket($E59,P$1)</f>
        <v/>
      </c>
      <c r="Q59" t="str">
        <f>_xll.RssFOPMarket($E59,Q$1)</f>
        <v/>
      </c>
    </row>
    <row r="60" spans="1:17" x14ac:dyDescent="0.4">
      <c r="A60" t="str">
        <f t="shared" si="0"/>
        <v>N225MOP</v>
      </c>
      <c r="B60" t="str">
        <f t="shared" si="0"/>
        <v>202310#4</v>
      </c>
      <c r="C60" t="str">
        <f t="shared" si="0"/>
        <v>C</v>
      </c>
      <c r="D60">
        <f t="shared" si="1"/>
        <v>29250</v>
      </c>
      <c r="E60" t="str">
        <f>_xll.RssFOPCode(A60,B60,IF(C60="C",1,IF(C60="P",2,"")),D60)</f>
        <v>マーケットスピード II にログインして「接続中」の状態に変更してから利用してください。</v>
      </c>
      <c r="F60" t="str">
        <f>_xll.RssFOPMarket($E60,F$1)</f>
        <v/>
      </c>
      <c r="G60" t="str">
        <f>_xll.RssFOPMarket($E60,G$1)</f>
        <v/>
      </c>
      <c r="H60" t="str">
        <f>_xll.RssFOPMarket($E60,H$1)</f>
        <v/>
      </c>
      <c r="I60" t="str">
        <f>_xll.RssFOPMarket($E60,I$1)</f>
        <v/>
      </c>
      <c r="J60" t="str">
        <f>_xll.RssFOPMarket($E60,J$1)</f>
        <v/>
      </c>
      <c r="K60" t="str">
        <f>_xll.RssFOPMarket($E60,K$1)</f>
        <v/>
      </c>
      <c r="L60" t="str">
        <f>_xll.RssFOPMarket($E60,L$1)</f>
        <v/>
      </c>
      <c r="M60" t="str">
        <f>_xll.RssFOPMarket($E60,M$1)</f>
        <v/>
      </c>
      <c r="N60" t="str">
        <f>_xll.RssFOPMarket($E60,N$1)</f>
        <v/>
      </c>
      <c r="O60" t="str">
        <f>_xll.RssFOPMarket($E60,O$1)</f>
        <v/>
      </c>
      <c r="P60" t="str">
        <f>_xll.RssFOPMarket($E60,P$1)</f>
        <v/>
      </c>
      <c r="Q60" t="str">
        <f>_xll.RssFOPMarket($E60,Q$1)</f>
        <v/>
      </c>
    </row>
    <row r="61" spans="1:17" x14ac:dyDescent="0.4">
      <c r="A61" t="str">
        <f t="shared" si="0"/>
        <v>N225MOP</v>
      </c>
      <c r="B61" t="str">
        <f t="shared" si="0"/>
        <v>202310#4</v>
      </c>
      <c r="C61" t="str">
        <f t="shared" si="0"/>
        <v>C</v>
      </c>
      <c r="D61">
        <f t="shared" si="1"/>
        <v>29125</v>
      </c>
      <c r="E61" t="str">
        <f>_xll.RssFOPCode(A61,B61,IF(C61="C",1,IF(C61="P",2,"")),D61)</f>
        <v>マーケットスピード II にログインして「接続中」の状態に変更してから利用してください。</v>
      </c>
      <c r="F61" t="str">
        <f>_xll.RssFOPMarket($E61,F$1)</f>
        <v/>
      </c>
      <c r="G61" t="str">
        <f>_xll.RssFOPMarket($E61,G$1)</f>
        <v/>
      </c>
      <c r="H61" t="str">
        <f>_xll.RssFOPMarket($E61,H$1)</f>
        <v/>
      </c>
      <c r="I61" t="str">
        <f>_xll.RssFOPMarket($E61,I$1)</f>
        <v/>
      </c>
      <c r="J61" t="str">
        <f>_xll.RssFOPMarket($E61,J$1)</f>
        <v/>
      </c>
      <c r="K61" t="str">
        <f>_xll.RssFOPMarket($E61,K$1)</f>
        <v/>
      </c>
      <c r="L61" t="str">
        <f>_xll.RssFOPMarket($E61,L$1)</f>
        <v/>
      </c>
      <c r="M61" t="str">
        <f>_xll.RssFOPMarket($E61,M$1)</f>
        <v/>
      </c>
      <c r="N61" t="str">
        <f>_xll.RssFOPMarket($E61,N$1)</f>
        <v/>
      </c>
      <c r="O61" t="str">
        <f>_xll.RssFOPMarket($E61,O$1)</f>
        <v/>
      </c>
      <c r="P61" t="str">
        <f>_xll.RssFOPMarket($E61,P$1)</f>
        <v/>
      </c>
      <c r="Q61" t="str">
        <f>_xll.RssFOPMarket($E61,Q$1)</f>
        <v/>
      </c>
    </row>
    <row r="62" spans="1:17" x14ac:dyDescent="0.4">
      <c r="A62" t="str">
        <f t="shared" si="0"/>
        <v>N225MOP</v>
      </c>
      <c r="B62" t="str">
        <f t="shared" si="0"/>
        <v>202310#4</v>
      </c>
      <c r="C62" t="str">
        <f t="shared" si="0"/>
        <v>C</v>
      </c>
      <c r="D62">
        <f t="shared" si="1"/>
        <v>29000</v>
      </c>
      <c r="E62" t="str">
        <f>_xll.RssFOPCode(A62,B62,IF(C62="C",1,IF(C62="P",2,"")),D62)</f>
        <v>マーケットスピード II にログインして「接続中」の状態に変更してから利用してください。</v>
      </c>
      <c r="F62" t="str">
        <f>_xll.RssFOPMarket($E62,F$1)</f>
        <v/>
      </c>
      <c r="G62" t="str">
        <f>_xll.RssFOPMarket($E62,G$1)</f>
        <v/>
      </c>
      <c r="H62" t="str">
        <f>_xll.RssFOPMarket($E62,H$1)</f>
        <v/>
      </c>
      <c r="I62" t="str">
        <f>_xll.RssFOPMarket($E62,I$1)</f>
        <v/>
      </c>
      <c r="J62" t="str">
        <f>_xll.RssFOPMarket($E62,J$1)</f>
        <v/>
      </c>
      <c r="K62" t="str">
        <f>_xll.RssFOPMarket($E62,K$1)</f>
        <v/>
      </c>
      <c r="L62" t="str">
        <f>_xll.RssFOPMarket($E62,L$1)</f>
        <v/>
      </c>
      <c r="M62" t="str">
        <f>_xll.RssFOPMarket($E62,M$1)</f>
        <v/>
      </c>
      <c r="N62" t="str">
        <f>_xll.RssFOPMarket($E62,N$1)</f>
        <v/>
      </c>
      <c r="O62" t="str">
        <f>_xll.RssFOPMarket($E62,O$1)</f>
        <v/>
      </c>
      <c r="P62" t="str">
        <f>_xll.RssFOPMarket($E62,P$1)</f>
        <v/>
      </c>
      <c r="Q62" t="str">
        <f>_xll.RssFOPMarket($E62,Q$1)</f>
        <v/>
      </c>
    </row>
    <row r="63" spans="1:17" x14ac:dyDescent="0.4">
      <c r="A63" t="str">
        <f t="shared" si="0"/>
        <v>N225MOP</v>
      </c>
      <c r="B63" t="str">
        <f t="shared" si="0"/>
        <v>202310#4</v>
      </c>
      <c r="C63" t="str">
        <f t="shared" si="0"/>
        <v>C</v>
      </c>
      <c r="D63">
        <f t="shared" si="1"/>
        <v>28875</v>
      </c>
      <c r="E63" t="str">
        <f>_xll.RssFOPCode(A63,B63,IF(C63="C",1,IF(C63="P",2,"")),D63)</f>
        <v>マーケットスピード II にログインして「接続中」の状態に変更してから利用してください。</v>
      </c>
      <c r="F63" t="str">
        <f>_xll.RssFOPMarket($E63,F$1)</f>
        <v/>
      </c>
      <c r="G63" t="str">
        <f>_xll.RssFOPMarket($E63,G$1)</f>
        <v/>
      </c>
      <c r="H63" t="str">
        <f>_xll.RssFOPMarket($E63,H$1)</f>
        <v/>
      </c>
      <c r="I63" t="str">
        <f>_xll.RssFOPMarket($E63,I$1)</f>
        <v/>
      </c>
      <c r="J63" t="str">
        <f>_xll.RssFOPMarket($E63,J$1)</f>
        <v/>
      </c>
      <c r="K63" t="str">
        <f>_xll.RssFOPMarket($E63,K$1)</f>
        <v/>
      </c>
      <c r="L63" t="str">
        <f>_xll.RssFOPMarket($E63,L$1)</f>
        <v/>
      </c>
      <c r="M63" t="str">
        <f>_xll.RssFOPMarket($E63,M$1)</f>
        <v/>
      </c>
      <c r="N63" t="str">
        <f>_xll.RssFOPMarket($E63,N$1)</f>
        <v/>
      </c>
      <c r="O63" t="str">
        <f>_xll.RssFOPMarket($E63,O$1)</f>
        <v/>
      </c>
      <c r="P63" t="str">
        <f>_xll.RssFOPMarket($E63,P$1)</f>
        <v/>
      </c>
      <c r="Q63" t="str">
        <f>_xll.RssFOPMarket($E63,Q$1)</f>
        <v/>
      </c>
    </row>
    <row r="64" spans="1:17" x14ac:dyDescent="0.4">
      <c r="A64" t="str">
        <f t="shared" si="0"/>
        <v>N225MOP</v>
      </c>
      <c r="B64" t="str">
        <f t="shared" si="0"/>
        <v>202310#4</v>
      </c>
      <c r="C64" t="str">
        <f t="shared" si="0"/>
        <v>C</v>
      </c>
      <c r="D64">
        <f t="shared" si="1"/>
        <v>28750</v>
      </c>
      <c r="E64" t="str">
        <f>_xll.RssFOPCode(A64,B64,IF(C64="C",1,IF(C64="P",2,"")),D64)</f>
        <v>マーケットスピード II にログインして「接続中」の状態に変更してから利用してください。</v>
      </c>
      <c r="F64" t="str">
        <f>_xll.RssFOPMarket($E64,F$1)</f>
        <v/>
      </c>
      <c r="G64" t="str">
        <f>_xll.RssFOPMarket($E64,G$1)</f>
        <v/>
      </c>
      <c r="H64" t="str">
        <f>_xll.RssFOPMarket($E64,H$1)</f>
        <v/>
      </c>
      <c r="I64" t="str">
        <f>_xll.RssFOPMarket($E64,I$1)</f>
        <v/>
      </c>
      <c r="J64" t="str">
        <f>_xll.RssFOPMarket($E64,J$1)</f>
        <v/>
      </c>
      <c r="K64" t="str">
        <f>_xll.RssFOPMarket($E64,K$1)</f>
        <v/>
      </c>
      <c r="L64" t="str">
        <f>_xll.RssFOPMarket($E64,L$1)</f>
        <v/>
      </c>
      <c r="M64" t="str">
        <f>_xll.RssFOPMarket($E64,M$1)</f>
        <v/>
      </c>
      <c r="N64" t="str">
        <f>_xll.RssFOPMarket($E64,N$1)</f>
        <v/>
      </c>
      <c r="O64" t="str">
        <f>_xll.RssFOPMarket($E64,O$1)</f>
        <v/>
      </c>
      <c r="P64" t="str">
        <f>_xll.RssFOPMarket($E64,P$1)</f>
        <v/>
      </c>
      <c r="Q64" t="str">
        <f>_xll.RssFOPMarket($E64,Q$1)</f>
        <v/>
      </c>
    </row>
    <row r="65" spans="1:17" x14ac:dyDescent="0.4">
      <c r="A65" t="str">
        <f t="shared" si="0"/>
        <v>N225MOP</v>
      </c>
      <c r="B65" t="str">
        <f t="shared" si="0"/>
        <v>202310#4</v>
      </c>
      <c r="C65" t="str">
        <f t="shared" si="0"/>
        <v>C</v>
      </c>
      <c r="D65">
        <f t="shared" si="1"/>
        <v>28625</v>
      </c>
      <c r="E65" t="str">
        <f>_xll.RssFOPCode(A65,B65,IF(C65="C",1,IF(C65="P",2,"")),D65)</f>
        <v>マーケットスピード II にログインして「接続中」の状態に変更してから利用してください。</v>
      </c>
      <c r="F65" t="str">
        <f>_xll.RssFOPMarket($E65,F$1)</f>
        <v/>
      </c>
      <c r="G65" t="str">
        <f>_xll.RssFOPMarket($E65,G$1)</f>
        <v/>
      </c>
      <c r="H65" t="str">
        <f>_xll.RssFOPMarket($E65,H$1)</f>
        <v/>
      </c>
      <c r="I65" t="str">
        <f>_xll.RssFOPMarket($E65,I$1)</f>
        <v/>
      </c>
      <c r="J65" t="str">
        <f>_xll.RssFOPMarket($E65,J$1)</f>
        <v/>
      </c>
      <c r="K65" t="str">
        <f>_xll.RssFOPMarket($E65,K$1)</f>
        <v/>
      </c>
      <c r="L65" t="str">
        <f>_xll.RssFOPMarket($E65,L$1)</f>
        <v/>
      </c>
      <c r="M65" t="str">
        <f>_xll.RssFOPMarket($E65,M$1)</f>
        <v/>
      </c>
      <c r="N65" t="str">
        <f>_xll.RssFOPMarket($E65,N$1)</f>
        <v/>
      </c>
      <c r="O65" t="str">
        <f>_xll.RssFOPMarket($E65,O$1)</f>
        <v/>
      </c>
      <c r="P65" t="str">
        <f>_xll.RssFOPMarket($E65,P$1)</f>
        <v/>
      </c>
      <c r="Q65" t="str">
        <f>_xll.RssFOPMarket($E65,Q$1)</f>
        <v/>
      </c>
    </row>
    <row r="66" spans="1:17" x14ac:dyDescent="0.4">
      <c r="A66" t="str">
        <f t="shared" si="0"/>
        <v>N225MOP</v>
      </c>
      <c r="B66" t="str">
        <f t="shared" si="0"/>
        <v>202310#4</v>
      </c>
      <c r="C66" t="str">
        <f t="shared" si="0"/>
        <v>C</v>
      </c>
      <c r="D66">
        <f t="shared" si="1"/>
        <v>28500</v>
      </c>
      <c r="E66" t="str">
        <f>_xll.RssFOPCode(A66,B66,IF(C66="C",1,IF(C66="P",2,"")),D66)</f>
        <v>マーケットスピード II にログインして「接続中」の状態に変更してから利用してください。</v>
      </c>
      <c r="F66" t="str">
        <f>_xll.RssFOPMarket($E66,F$1)</f>
        <v/>
      </c>
      <c r="G66" t="str">
        <f>_xll.RssFOPMarket($E66,G$1)</f>
        <v/>
      </c>
      <c r="H66" t="str">
        <f>_xll.RssFOPMarket($E66,H$1)</f>
        <v/>
      </c>
      <c r="I66" t="str">
        <f>_xll.RssFOPMarket($E66,I$1)</f>
        <v/>
      </c>
      <c r="J66" t="str">
        <f>_xll.RssFOPMarket($E66,J$1)</f>
        <v/>
      </c>
      <c r="K66" t="str">
        <f>_xll.RssFOPMarket($E66,K$1)</f>
        <v/>
      </c>
      <c r="L66" t="str">
        <f>_xll.RssFOPMarket($E66,L$1)</f>
        <v/>
      </c>
      <c r="M66" t="str">
        <f>_xll.RssFOPMarket($E66,M$1)</f>
        <v/>
      </c>
      <c r="N66" t="str">
        <f>_xll.RssFOPMarket($E66,N$1)</f>
        <v/>
      </c>
      <c r="O66" t="str">
        <f>_xll.RssFOPMarket($E66,O$1)</f>
        <v/>
      </c>
      <c r="P66" t="str">
        <f>_xll.RssFOPMarket($E66,P$1)</f>
        <v/>
      </c>
      <c r="Q66" t="str">
        <f>_xll.RssFOPMarket($E66,Q$1)</f>
        <v/>
      </c>
    </row>
    <row r="67" spans="1:17" x14ac:dyDescent="0.4">
      <c r="A67" t="str">
        <f t="shared" si="0"/>
        <v>N225MOP</v>
      </c>
      <c r="B67" t="str">
        <f t="shared" si="0"/>
        <v>202310#4</v>
      </c>
      <c r="C67" t="str">
        <f t="shared" si="0"/>
        <v>C</v>
      </c>
      <c r="D67">
        <f t="shared" si="1"/>
        <v>28375</v>
      </c>
      <c r="E67" t="str">
        <f>_xll.RssFOPCode(A67,B67,IF(C67="C",1,IF(C67="P",2,"")),D67)</f>
        <v>マーケットスピード II にログインして「接続中」の状態に変更してから利用してください。</v>
      </c>
      <c r="F67" t="str">
        <f>_xll.RssFOPMarket($E67,F$1)</f>
        <v/>
      </c>
      <c r="G67" t="str">
        <f>_xll.RssFOPMarket($E67,G$1)</f>
        <v/>
      </c>
      <c r="H67" t="str">
        <f>_xll.RssFOPMarket($E67,H$1)</f>
        <v/>
      </c>
      <c r="I67" t="str">
        <f>_xll.RssFOPMarket($E67,I$1)</f>
        <v/>
      </c>
      <c r="J67" t="str">
        <f>_xll.RssFOPMarket($E67,J$1)</f>
        <v/>
      </c>
      <c r="K67" t="str">
        <f>_xll.RssFOPMarket($E67,K$1)</f>
        <v/>
      </c>
      <c r="L67" t="str">
        <f>_xll.RssFOPMarket($E67,L$1)</f>
        <v/>
      </c>
      <c r="M67" t="str">
        <f>_xll.RssFOPMarket($E67,M$1)</f>
        <v/>
      </c>
      <c r="N67" t="str">
        <f>_xll.RssFOPMarket($E67,N$1)</f>
        <v/>
      </c>
      <c r="O67" t="str">
        <f>_xll.RssFOPMarket($E67,O$1)</f>
        <v/>
      </c>
      <c r="P67" t="str">
        <f>_xll.RssFOPMarket($E67,P$1)</f>
        <v/>
      </c>
      <c r="Q67" t="str">
        <f>_xll.RssFOPMarket($E67,Q$1)</f>
        <v/>
      </c>
    </row>
    <row r="68" spans="1:17" x14ac:dyDescent="0.4">
      <c r="A68" t="str">
        <f>A67</f>
        <v>N225MOP</v>
      </c>
      <c r="B68" t="str">
        <f>B67</f>
        <v>202310#4</v>
      </c>
      <c r="C68" t="str">
        <f>C67</f>
        <v>C</v>
      </c>
      <c r="D68">
        <f>D67-125</f>
        <v>28250</v>
      </c>
      <c r="E68" t="str">
        <f>_xll.RssFOPCode(A68,B68,IF(C68="C",1,IF(C68="P",2,"")),D68)</f>
        <v>マーケットスピード II にログインして「接続中」の状態に変更してから利用してください。</v>
      </c>
      <c r="F68" t="str">
        <f>_xll.RssFOPMarket($E68,F$1)</f>
        <v/>
      </c>
      <c r="G68" t="str">
        <f>_xll.RssFOPMarket($E68,G$1)</f>
        <v/>
      </c>
      <c r="H68" t="str">
        <f>_xll.RssFOPMarket($E68,H$1)</f>
        <v/>
      </c>
      <c r="I68" t="str">
        <f>_xll.RssFOPMarket($E68,I$1)</f>
        <v/>
      </c>
      <c r="J68" t="str">
        <f>_xll.RssFOPMarket($E68,J$1)</f>
        <v/>
      </c>
      <c r="K68" t="str">
        <f>_xll.RssFOPMarket($E68,K$1)</f>
        <v/>
      </c>
      <c r="L68" t="str">
        <f>_xll.RssFOPMarket($E68,L$1)</f>
        <v/>
      </c>
      <c r="M68" t="str">
        <f>_xll.RssFOPMarket($E68,M$1)</f>
        <v/>
      </c>
      <c r="N68" t="str">
        <f>_xll.RssFOPMarket($E68,N$1)</f>
        <v/>
      </c>
      <c r="O68" t="str">
        <f>_xll.RssFOPMarket($E68,O$1)</f>
        <v/>
      </c>
      <c r="P68" t="str">
        <f>_xll.RssFOPMarket($E68,P$1)</f>
        <v/>
      </c>
      <c r="Q68" t="str">
        <f>_xll.RssFOPMarket($E68,Q$1)</f>
        <v/>
      </c>
    </row>
    <row r="101" spans="1:17" x14ac:dyDescent="0.4">
      <c r="A101" t="s">
        <v>23</v>
      </c>
      <c r="B101" t="s">
        <v>24</v>
      </c>
      <c r="C101" t="s">
        <v>13</v>
      </c>
      <c r="D101" t="s">
        <v>25</v>
      </c>
      <c r="E101" t="s">
        <v>26</v>
      </c>
      <c r="F101" t="s">
        <v>27</v>
      </c>
      <c r="G101" t="s">
        <v>28</v>
      </c>
      <c r="H101" t="s">
        <v>29</v>
      </c>
      <c r="I101" t="s">
        <v>30</v>
      </c>
      <c r="J101" t="s">
        <v>31</v>
      </c>
      <c r="K101" t="s">
        <v>32</v>
      </c>
      <c r="L101" t="s">
        <v>33</v>
      </c>
      <c r="M101" t="s">
        <v>34</v>
      </c>
      <c r="N101" t="s">
        <v>35</v>
      </c>
      <c r="O101" t="s">
        <v>36</v>
      </c>
      <c r="P101" t="s">
        <v>37</v>
      </c>
      <c r="Q101" t="s">
        <v>38</v>
      </c>
    </row>
    <row r="102" spans="1:17" x14ac:dyDescent="0.4">
      <c r="A102" t="s">
        <v>14</v>
      </c>
      <c r="B102" t="s">
        <v>19</v>
      </c>
      <c r="C102" t="s">
        <v>15</v>
      </c>
      <c r="D102">
        <v>36500</v>
      </c>
      <c r="E102" t="s">
        <v>90</v>
      </c>
    </row>
    <row r="103" spans="1:17" x14ac:dyDescent="0.4">
      <c r="A103" t="s">
        <v>14</v>
      </c>
      <c r="B103" t="s">
        <v>19</v>
      </c>
      <c r="C103" t="s">
        <v>15</v>
      </c>
      <c r="D103">
        <v>36375</v>
      </c>
      <c r="E103" t="s">
        <v>90</v>
      </c>
    </row>
    <row r="104" spans="1:17" x14ac:dyDescent="0.4">
      <c r="A104" t="s">
        <v>14</v>
      </c>
      <c r="B104" t="s">
        <v>19</v>
      </c>
      <c r="C104" t="s">
        <v>15</v>
      </c>
      <c r="D104">
        <v>36250</v>
      </c>
      <c r="E104" t="s">
        <v>90</v>
      </c>
    </row>
    <row r="105" spans="1:17" x14ac:dyDescent="0.4">
      <c r="A105" t="s">
        <v>14</v>
      </c>
      <c r="B105" t="s">
        <v>19</v>
      </c>
      <c r="C105" t="s">
        <v>15</v>
      </c>
      <c r="D105">
        <v>36125</v>
      </c>
      <c r="E105" t="s">
        <v>90</v>
      </c>
    </row>
    <row r="106" spans="1:17" x14ac:dyDescent="0.4">
      <c r="A106" t="s">
        <v>14</v>
      </c>
      <c r="B106" t="s">
        <v>19</v>
      </c>
      <c r="C106" t="s">
        <v>15</v>
      </c>
      <c r="D106">
        <v>36000</v>
      </c>
      <c r="E106" t="s">
        <v>90</v>
      </c>
    </row>
    <row r="107" spans="1:17" x14ac:dyDescent="0.4">
      <c r="A107" t="s">
        <v>14</v>
      </c>
      <c r="B107" t="s">
        <v>19</v>
      </c>
      <c r="C107" t="s">
        <v>15</v>
      </c>
      <c r="D107">
        <v>35875</v>
      </c>
      <c r="E107" t="s">
        <v>90</v>
      </c>
    </row>
    <row r="108" spans="1:17" x14ac:dyDescent="0.4">
      <c r="A108" t="s">
        <v>14</v>
      </c>
      <c r="B108" t="s">
        <v>19</v>
      </c>
      <c r="C108" t="s">
        <v>15</v>
      </c>
      <c r="D108">
        <v>35750</v>
      </c>
      <c r="E108" t="s">
        <v>90</v>
      </c>
    </row>
    <row r="109" spans="1:17" x14ac:dyDescent="0.4">
      <c r="A109" t="s">
        <v>14</v>
      </c>
      <c r="B109" t="s">
        <v>19</v>
      </c>
      <c r="C109" t="s">
        <v>15</v>
      </c>
      <c r="D109">
        <v>35625</v>
      </c>
      <c r="E109" t="s">
        <v>90</v>
      </c>
    </row>
    <row r="110" spans="1:17" x14ac:dyDescent="0.4">
      <c r="A110" t="s">
        <v>14</v>
      </c>
      <c r="B110" t="s">
        <v>19</v>
      </c>
      <c r="C110" t="s">
        <v>15</v>
      </c>
      <c r="D110">
        <v>35500</v>
      </c>
      <c r="E110" t="s">
        <v>90</v>
      </c>
    </row>
    <row r="111" spans="1:17" x14ac:dyDescent="0.4">
      <c r="A111" t="s">
        <v>14</v>
      </c>
      <c r="B111" t="s">
        <v>19</v>
      </c>
      <c r="C111" t="s">
        <v>15</v>
      </c>
      <c r="D111">
        <v>35375</v>
      </c>
      <c r="E111" t="s">
        <v>90</v>
      </c>
    </row>
    <row r="112" spans="1:17" x14ac:dyDescent="0.4">
      <c r="A112" t="s">
        <v>14</v>
      </c>
      <c r="B112" t="s">
        <v>19</v>
      </c>
      <c r="C112" t="s">
        <v>15</v>
      </c>
      <c r="D112">
        <v>35250</v>
      </c>
      <c r="E112" t="s">
        <v>90</v>
      </c>
    </row>
    <row r="113" spans="1:6" x14ac:dyDescent="0.4">
      <c r="A113" t="s">
        <v>14</v>
      </c>
      <c r="B113" t="s">
        <v>19</v>
      </c>
      <c r="C113" t="s">
        <v>15</v>
      </c>
      <c r="D113">
        <v>35125</v>
      </c>
      <c r="E113" t="s">
        <v>90</v>
      </c>
    </row>
    <row r="114" spans="1:6" x14ac:dyDescent="0.4">
      <c r="A114" t="s">
        <v>14</v>
      </c>
      <c r="B114" t="s">
        <v>19</v>
      </c>
      <c r="C114" t="s">
        <v>15</v>
      </c>
      <c r="D114">
        <v>35000</v>
      </c>
      <c r="E114" t="s">
        <v>90</v>
      </c>
    </row>
    <row r="115" spans="1:6" x14ac:dyDescent="0.4">
      <c r="A115" t="s">
        <v>14</v>
      </c>
      <c r="B115" t="s">
        <v>19</v>
      </c>
      <c r="C115" t="s">
        <v>15</v>
      </c>
      <c r="D115">
        <v>34875</v>
      </c>
      <c r="E115" t="s">
        <v>90</v>
      </c>
    </row>
    <row r="116" spans="1:6" x14ac:dyDescent="0.4">
      <c r="A116" t="s">
        <v>14</v>
      </c>
      <c r="B116" t="s">
        <v>19</v>
      </c>
      <c r="C116" t="s">
        <v>15</v>
      </c>
      <c r="D116">
        <v>34750</v>
      </c>
      <c r="E116" t="s">
        <v>90</v>
      </c>
    </row>
    <row r="117" spans="1:6" x14ac:dyDescent="0.4">
      <c r="A117" t="s">
        <v>14</v>
      </c>
      <c r="B117" t="s">
        <v>19</v>
      </c>
      <c r="C117" t="s">
        <v>15</v>
      </c>
      <c r="D117">
        <v>34625</v>
      </c>
      <c r="E117" t="s">
        <v>90</v>
      </c>
    </row>
    <row r="118" spans="1:6" x14ac:dyDescent="0.4">
      <c r="A118" t="s">
        <v>14</v>
      </c>
      <c r="B118" t="s">
        <v>19</v>
      </c>
      <c r="C118" t="s">
        <v>15</v>
      </c>
      <c r="D118">
        <v>34500</v>
      </c>
      <c r="E118" t="s">
        <v>90</v>
      </c>
    </row>
    <row r="119" spans="1:6" x14ac:dyDescent="0.4">
      <c r="A119" t="s">
        <v>14</v>
      </c>
      <c r="B119" t="s">
        <v>19</v>
      </c>
      <c r="C119" t="s">
        <v>15</v>
      </c>
      <c r="D119">
        <v>34375</v>
      </c>
      <c r="E119" t="s">
        <v>90</v>
      </c>
    </row>
    <row r="120" spans="1:6" x14ac:dyDescent="0.4">
      <c r="A120" t="s">
        <v>14</v>
      </c>
      <c r="B120" t="s">
        <v>19</v>
      </c>
      <c r="C120" t="s">
        <v>15</v>
      </c>
      <c r="D120">
        <v>34250</v>
      </c>
      <c r="E120" t="s">
        <v>90</v>
      </c>
    </row>
    <row r="121" spans="1:6" x14ac:dyDescent="0.4">
      <c r="A121" t="s">
        <v>14</v>
      </c>
      <c r="B121" t="s">
        <v>19</v>
      </c>
      <c r="C121" t="s">
        <v>15</v>
      </c>
      <c r="D121">
        <v>34125</v>
      </c>
      <c r="E121" t="s">
        <v>90</v>
      </c>
    </row>
    <row r="122" spans="1:6" x14ac:dyDescent="0.4">
      <c r="A122" t="s">
        <v>14</v>
      </c>
      <c r="B122" t="s">
        <v>19</v>
      </c>
      <c r="C122" t="s">
        <v>15</v>
      </c>
      <c r="D122">
        <v>34000</v>
      </c>
      <c r="E122" t="s">
        <v>90</v>
      </c>
      <c r="F122" s="2"/>
    </row>
    <row r="123" spans="1:6" x14ac:dyDescent="0.4">
      <c r="A123" t="s">
        <v>14</v>
      </c>
      <c r="B123" t="s">
        <v>19</v>
      </c>
      <c r="C123" t="s">
        <v>15</v>
      </c>
      <c r="D123">
        <v>33875</v>
      </c>
      <c r="E123" t="s">
        <v>90</v>
      </c>
    </row>
    <row r="124" spans="1:6" x14ac:dyDescent="0.4">
      <c r="A124" t="s">
        <v>14</v>
      </c>
      <c r="B124" t="s">
        <v>19</v>
      </c>
      <c r="C124" t="s">
        <v>15</v>
      </c>
      <c r="D124">
        <v>33750</v>
      </c>
      <c r="E124" t="s">
        <v>90</v>
      </c>
    </row>
    <row r="125" spans="1:6" x14ac:dyDescent="0.4">
      <c r="A125" t="s">
        <v>14</v>
      </c>
      <c r="B125" t="s">
        <v>19</v>
      </c>
      <c r="C125" t="s">
        <v>15</v>
      </c>
      <c r="D125">
        <v>33625</v>
      </c>
      <c r="E125" t="s">
        <v>90</v>
      </c>
    </row>
    <row r="126" spans="1:6" x14ac:dyDescent="0.4">
      <c r="A126" t="s">
        <v>14</v>
      </c>
      <c r="B126" t="s">
        <v>19</v>
      </c>
      <c r="C126" t="s">
        <v>15</v>
      </c>
      <c r="D126">
        <v>33500</v>
      </c>
      <c r="E126" t="s">
        <v>90</v>
      </c>
    </row>
    <row r="127" spans="1:6" x14ac:dyDescent="0.4">
      <c r="A127" t="s">
        <v>14</v>
      </c>
      <c r="B127" t="s">
        <v>19</v>
      </c>
      <c r="C127" t="s">
        <v>15</v>
      </c>
      <c r="D127">
        <v>33375</v>
      </c>
      <c r="E127" t="s">
        <v>90</v>
      </c>
    </row>
    <row r="128" spans="1:6" x14ac:dyDescent="0.4">
      <c r="A128" t="s">
        <v>14</v>
      </c>
      <c r="B128" t="s">
        <v>19</v>
      </c>
      <c r="C128" t="s">
        <v>15</v>
      </c>
      <c r="D128">
        <v>33250</v>
      </c>
      <c r="E128" t="s">
        <v>90</v>
      </c>
    </row>
    <row r="129" spans="1:6" x14ac:dyDescent="0.4">
      <c r="A129" t="s">
        <v>14</v>
      </c>
      <c r="B129" t="s">
        <v>19</v>
      </c>
      <c r="C129" t="s">
        <v>15</v>
      </c>
      <c r="D129">
        <v>33125</v>
      </c>
      <c r="E129" t="s">
        <v>90</v>
      </c>
    </row>
    <row r="130" spans="1:6" x14ac:dyDescent="0.4">
      <c r="A130" t="s">
        <v>14</v>
      </c>
      <c r="B130" t="s">
        <v>19</v>
      </c>
      <c r="C130" t="s">
        <v>15</v>
      </c>
      <c r="D130">
        <v>33000</v>
      </c>
      <c r="E130" t="s">
        <v>90</v>
      </c>
    </row>
    <row r="131" spans="1:6" x14ac:dyDescent="0.4">
      <c r="A131" t="s">
        <v>14</v>
      </c>
      <c r="B131" t="s">
        <v>19</v>
      </c>
      <c r="C131" t="s">
        <v>15</v>
      </c>
      <c r="D131">
        <v>32875</v>
      </c>
      <c r="E131" t="s">
        <v>90</v>
      </c>
    </row>
    <row r="132" spans="1:6" x14ac:dyDescent="0.4">
      <c r="A132" t="s">
        <v>14</v>
      </c>
      <c r="B132" t="s">
        <v>19</v>
      </c>
      <c r="C132" t="s">
        <v>15</v>
      </c>
      <c r="D132">
        <v>32750</v>
      </c>
      <c r="E132" t="s">
        <v>90</v>
      </c>
    </row>
    <row r="133" spans="1:6" x14ac:dyDescent="0.4">
      <c r="A133" t="s">
        <v>14</v>
      </c>
      <c r="B133" t="s">
        <v>19</v>
      </c>
      <c r="C133" t="s">
        <v>15</v>
      </c>
      <c r="D133">
        <v>32625</v>
      </c>
      <c r="E133" t="s">
        <v>90</v>
      </c>
    </row>
    <row r="134" spans="1:6" x14ac:dyDescent="0.4">
      <c r="A134" t="s">
        <v>14</v>
      </c>
      <c r="B134" t="s">
        <v>19</v>
      </c>
      <c r="C134" t="s">
        <v>15</v>
      </c>
      <c r="D134">
        <v>32500</v>
      </c>
      <c r="E134" t="s">
        <v>90</v>
      </c>
    </row>
    <row r="135" spans="1:6" x14ac:dyDescent="0.4">
      <c r="A135" t="s">
        <v>14</v>
      </c>
      <c r="B135" t="s">
        <v>19</v>
      </c>
      <c r="C135" t="s">
        <v>15</v>
      </c>
      <c r="D135">
        <v>32375</v>
      </c>
      <c r="E135" t="s">
        <v>90</v>
      </c>
      <c r="F135" s="2"/>
    </row>
    <row r="136" spans="1:6" x14ac:dyDescent="0.4">
      <c r="A136" t="s">
        <v>14</v>
      </c>
      <c r="B136" t="s">
        <v>19</v>
      </c>
      <c r="C136" t="s">
        <v>15</v>
      </c>
      <c r="D136">
        <v>32250</v>
      </c>
      <c r="E136" t="s">
        <v>90</v>
      </c>
    </row>
    <row r="137" spans="1:6" x14ac:dyDescent="0.4">
      <c r="A137" t="s">
        <v>14</v>
      </c>
      <c r="B137" t="s">
        <v>19</v>
      </c>
      <c r="C137" t="s">
        <v>15</v>
      </c>
      <c r="D137">
        <v>32125</v>
      </c>
      <c r="E137" t="s">
        <v>90</v>
      </c>
    </row>
    <row r="138" spans="1:6" x14ac:dyDescent="0.4">
      <c r="A138" t="s">
        <v>14</v>
      </c>
      <c r="B138" t="s">
        <v>19</v>
      </c>
      <c r="C138" t="s">
        <v>15</v>
      </c>
      <c r="D138">
        <v>32000</v>
      </c>
      <c r="E138" t="s">
        <v>90</v>
      </c>
      <c r="F138" s="2"/>
    </row>
    <row r="139" spans="1:6" x14ac:dyDescent="0.4">
      <c r="A139" t="s">
        <v>14</v>
      </c>
      <c r="B139" t="s">
        <v>19</v>
      </c>
      <c r="C139" t="s">
        <v>15</v>
      </c>
      <c r="D139">
        <v>31875</v>
      </c>
      <c r="E139" t="s">
        <v>90</v>
      </c>
    </row>
    <row r="140" spans="1:6" x14ac:dyDescent="0.4">
      <c r="A140" t="s">
        <v>14</v>
      </c>
      <c r="B140" t="s">
        <v>19</v>
      </c>
      <c r="C140" t="s">
        <v>15</v>
      </c>
      <c r="D140">
        <v>31750</v>
      </c>
      <c r="E140" t="s">
        <v>90</v>
      </c>
      <c r="F140" s="2"/>
    </row>
    <row r="141" spans="1:6" x14ac:dyDescent="0.4">
      <c r="A141" t="s">
        <v>14</v>
      </c>
      <c r="B141" t="s">
        <v>19</v>
      </c>
      <c r="C141" t="s">
        <v>15</v>
      </c>
      <c r="D141">
        <v>31625</v>
      </c>
      <c r="E141" t="s">
        <v>90</v>
      </c>
    </row>
    <row r="142" spans="1:6" x14ac:dyDescent="0.4">
      <c r="A142" t="s">
        <v>14</v>
      </c>
      <c r="B142" t="s">
        <v>19</v>
      </c>
      <c r="C142" t="s">
        <v>15</v>
      </c>
      <c r="D142">
        <v>31500</v>
      </c>
      <c r="E142" t="s">
        <v>90</v>
      </c>
    </row>
    <row r="143" spans="1:6" x14ac:dyDescent="0.4">
      <c r="A143" t="s">
        <v>14</v>
      </c>
      <c r="B143" t="s">
        <v>19</v>
      </c>
      <c r="C143" t="s">
        <v>15</v>
      </c>
      <c r="D143">
        <v>31375</v>
      </c>
      <c r="E143" t="s">
        <v>90</v>
      </c>
    </row>
    <row r="144" spans="1:6" x14ac:dyDescent="0.4">
      <c r="A144" t="s">
        <v>14</v>
      </c>
      <c r="B144" t="s">
        <v>19</v>
      </c>
      <c r="C144" t="s">
        <v>15</v>
      </c>
      <c r="D144">
        <v>31250</v>
      </c>
      <c r="E144" t="s">
        <v>90</v>
      </c>
    </row>
    <row r="145" spans="1:5" x14ac:dyDescent="0.4">
      <c r="A145" t="s">
        <v>14</v>
      </c>
      <c r="B145" t="s">
        <v>19</v>
      </c>
      <c r="C145" t="s">
        <v>15</v>
      </c>
      <c r="D145">
        <v>31125</v>
      </c>
      <c r="E145" t="s">
        <v>90</v>
      </c>
    </row>
    <row r="146" spans="1:5" x14ac:dyDescent="0.4">
      <c r="A146" t="s">
        <v>14</v>
      </c>
      <c r="B146" t="s">
        <v>19</v>
      </c>
      <c r="C146" t="s">
        <v>15</v>
      </c>
      <c r="D146">
        <v>31000</v>
      </c>
      <c r="E146" t="s">
        <v>90</v>
      </c>
    </row>
    <row r="147" spans="1:5" x14ac:dyDescent="0.4">
      <c r="A147" t="s">
        <v>14</v>
      </c>
      <c r="B147" t="s">
        <v>19</v>
      </c>
      <c r="C147" t="s">
        <v>15</v>
      </c>
      <c r="D147">
        <v>30875</v>
      </c>
      <c r="E147" t="s">
        <v>90</v>
      </c>
    </row>
    <row r="148" spans="1:5" x14ac:dyDescent="0.4">
      <c r="A148" t="s">
        <v>14</v>
      </c>
      <c r="B148" t="s">
        <v>19</v>
      </c>
      <c r="C148" t="s">
        <v>15</v>
      </c>
      <c r="D148">
        <v>30750</v>
      </c>
      <c r="E148" t="s">
        <v>90</v>
      </c>
    </row>
    <row r="149" spans="1:5" x14ac:dyDescent="0.4">
      <c r="A149" t="s">
        <v>14</v>
      </c>
      <c r="B149" t="s">
        <v>19</v>
      </c>
      <c r="C149" t="s">
        <v>15</v>
      </c>
      <c r="D149">
        <v>30625</v>
      </c>
      <c r="E149" t="s">
        <v>90</v>
      </c>
    </row>
    <row r="150" spans="1:5" x14ac:dyDescent="0.4">
      <c r="A150" t="s">
        <v>14</v>
      </c>
      <c r="B150" t="s">
        <v>19</v>
      </c>
      <c r="C150" t="s">
        <v>15</v>
      </c>
      <c r="D150">
        <v>30500</v>
      </c>
      <c r="E150" t="s">
        <v>90</v>
      </c>
    </row>
    <row r="151" spans="1:5" x14ac:dyDescent="0.4">
      <c r="A151" t="s">
        <v>14</v>
      </c>
      <c r="B151" t="s">
        <v>19</v>
      </c>
      <c r="C151" t="s">
        <v>15</v>
      </c>
      <c r="D151">
        <v>30375</v>
      </c>
      <c r="E151" t="s">
        <v>90</v>
      </c>
    </row>
    <row r="152" spans="1:5" x14ac:dyDescent="0.4">
      <c r="A152" t="s">
        <v>14</v>
      </c>
      <c r="B152" t="s">
        <v>19</v>
      </c>
      <c r="C152" t="s">
        <v>15</v>
      </c>
      <c r="D152">
        <v>30250</v>
      </c>
      <c r="E152" t="s">
        <v>90</v>
      </c>
    </row>
    <row r="153" spans="1:5" x14ac:dyDescent="0.4">
      <c r="A153" t="s">
        <v>14</v>
      </c>
      <c r="B153" t="s">
        <v>19</v>
      </c>
      <c r="C153" t="s">
        <v>15</v>
      </c>
      <c r="D153">
        <v>30125</v>
      </c>
      <c r="E153" t="s">
        <v>90</v>
      </c>
    </row>
    <row r="154" spans="1:5" x14ac:dyDescent="0.4">
      <c r="A154" t="s">
        <v>14</v>
      </c>
      <c r="B154" t="s">
        <v>19</v>
      </c>
      <c r="C154" t="s">
        <v>15</v>
      </c>
      <c r="D154">
        <v>30000</v>
      </c>
      <c r="E154" t="s">
        <v>90</v>
      </c>
    </row>
    <row r="155" spans="1:5" x14ac:dyDescent="0.4">
      <c r="A155" t="s">
        <v>14</v>
      </c>
      <c r="B155" t="s">
        <v>19</v>
      </c>
      <c r="C155" t="s">
        <v>15</v>
      </c>
      <c r="D155">
        <v>29875</v>
      </c>
      <c r="E155" t="s">
        <v>90</v>
      </c>
    </row>
    <row r="156" spans="1:5" x14ac:dyDescent="0.4">
      <c r="A156" t="s">
        <v>14</v>
      </c>
      <c r="B156" t="s">
        <v>19</v>
      </c>
      <c r="C156" t="s">
        <v>15</v>
      </c>
      <c r="D156">
        <v>29750</v>
      </c>
      <c r="E156" t="s">
        <v>90</v>
      </c>
    </row>
    <row r="157" spans="1:5" x14ac:dyDescent="0.4">
      <c r="A157" t="s">
        <v>14</v>
      </c>
      <c r="B157" t="s">
        <v>19</v>
      </c>
      <c r="C157" t="s">
        <v>15</v>
      </c>
      <c r="D157">
        <v>29625</v>
      </c>
      <c r="E157" t="s">
        <v>90</v>
      </c>
    </row>
    <row r="158" spans="1:5" x14ac:dyDescent="0.4">
      <c r="A158" t="s">
        <v>14</v>
      </c>
      <c r="B158" t="s">
        <v>19</v>
      </c>
      <c r="C158" t="s">
        <v>15</v>
      </c>
      <c r="D158">
        <v>29500</v>
      </c>
      <c r="E158" t="s">
        <v>90</v>
      </c>
    </row>
    <row r="159" spans="1:5" x14ac:dyDescent="0.4">
      <c r="A159" t="s">
        <v>14</v>
      </c>
      <c r="B159" t="s">
        <v>19</v>
      </c>
      <c r="C159" t="s">
        <v>15</v>
      </c>
      <c r="D159">
        <v>29375</v>
      </c>
      <c r="E159" t="s">
        <v>90</v>
      </c>
    </row>
    <row r="160" spans="1:5" x14ac:dyDescent="0.4">
      <c r="A160" t="s">
        <v>14</v>
      </c>
      <c r="B160" t="s">
        <v>19</v>
      </c>
      <c r="C160" t="s">
        <v>15</v>
      </c>
      <c r="D160">
        <v>29250</v>
      </c>
      <c r="E160" t="s">
        <v>90</v>
      </c>
    </row>
    <row r="161" spans="1:6" x14ac:dyDescent="0.4">
      <c r="A161" t="s">
        <v>14</v>
      </c>
      <c r="B161" t="s">
        <v>19</v>
      </c>
      <c r="C161" t="s">
        <v>15</v>
      </c>
      <c r="D161">
        <v>29125</v>
      </c>
      <c r="E161" t="s">
        <v>90</v>
      </c>
      <c r="F161" s="2"/>
    </row>
    <row r="162" spans="1:6" x14ac:dyDescent="0.4">
      <c r="A162" t="s">
        <v>14</v>
      </c>
      <c r="B162" t="s">
        <v>19</v>
      </c>
      <c r="C162" t="s">
        <v>15</v>
      </c>
      <c r="D162">
        <v>29000</v>
      </c>
      <c r="E162" t="s">
        <v>90</v>
      </c>
    </row>
    <row r="163" spans="1:6" x14ac:dyDescent="0.4">
      <c r="A163" t="s">
        <v>14</v>
      </c>
      <c r="B163" t="s">
        <v>19</v>
      </c>
      <c r="C163" t="s">
        <v>15</v>
      </c>
      <c r="D163">
        <v>28875</v>
      </c>
      <c r="E163" t="s">
        <v>90</v>
      </c>
    </row>
    <row r="164" spans="1:6" x14ac:dyDescent="0.4">
      <c r="A164" t="s">
        <v>14</v>
      </c>
      <c r="B164" t="s">
        <v>19</v>
      </c>
      <c r="C164" t="s">
        <v>15</v>
      </c>
      <c r="D164">
        <v>28750</v>
      </c>
      <c r="E164" t="s">
        <v>90</v>
      </c>
    </row>
    <row r="165" spans="1:6" x14ac:dyDescent="0.4">
      <c r="A165" t="s">
        <v>14</v>
      </c>
      <c r="B165" t="s">
        <v>19</v>
      </c>
      <c r="C165" t="s">
        <v>15</v>
      </c>
      <c r="D165">
        <v>28625</v>
      </c>
      <c r="E165" t="s">
        <v>90</v>
      </c>
    </row>
    <row r="166" spans="1:6" x14ac:dyDescent="0.4">
      <c r="A166" t="s">
        <v>14</v>
      </c>
      <c r="B166" t="s">
        <v>19</v>
      </c>
      <c r="C166" t="s">
        <v>15</v>
      </c>
      <c r="D166">
        <v>28500</v>
      </c>
      <c r="E166" t="s">
        <v>90</v>
      </c>
    </row>
    <row r="167" spans="1:6" x14ac:dyDescent="0.4">
      <c r="A167" t="s">
        <v>14</v>
      </c>
      <c r="B167" t="s">
        <v>19</v>
      </c>
      <c r="C167" t="s">
        <v>15</v>
      </c>
      <c r="D167">
        <v>28375</v>
      </c>
      <c r="E167" t="s">
        <v>90</v>
      </c>
    </row>
    <row r="168" spans="1:6" x14ac:dyDescent="0.4">
      <c r="A168" t="s">
        <v>14</v>
      </c>
      <c r="B168" t="s">
        <v>19</v>
      </c>
      <c r="C168" t="s">
        <v>15</v>
      </c>
      <c r="D168">
        <v>28250</v>
      </c>
      <c r="E168" t="s">
        <v>90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CDFB7-5406-47DC-9145-2B85708E5E19}">
  <sheetPr codeName="Sheet8"/>
  <dimension ref="A1:Q168"/>
  <sheetViews>
    <sheetView workbookViewId="0">
      <pane ySplit="1" topLeftCell="A102" activePane="bottomLeft" state="frozen"/>
      <selection activeCell="B1" sqref="B1"/>
      <selection pane="bottomLeft" activeCell="Q1" sqref="Q1"/>
    </sheetView>
  </sheetViews>
  <sheetFormatPr defaultRowHeight="18.75" x14ac:dyDescent="0.4"/>
  <cols>
    <col min="1" max="1" width="10.25" bestFit="1" customWidth="1"/>
    <col min="2" max="2" width="9.625" bestFit="1" customWidth="1"/>
    <col min="3" max="3" width="4.875" bestFit="1" customWidth="1"/>
    <col min="4" max="4" width="9" bestFit="1" customWidth="1"/>
    <col min="5" max="5" width="11" bestFit="1" customWidth="1"/>
  </cols>
  <sheetData>
    <row r="1" spans="1:17" x14ac:dyDescent="0.4">
      <c r="A1" t="s">
        <v>11</v>
      </c>
      <c r="B1" t="s">
        <v>12</v>
      </c>
      <c r="C1" t="s">
        <v>13</v>
      </c>
      <c r="D1" t="s">
        <v>0</v>
      </c>
      <c r="E1" t="s">
        <v>17</v>
      </c>
      <c r="F1" t="s">
        <v>2</v>
      </c>
      <c r="G1" t="s">
        <v>1</v>
      </c>
      <c r="H1" s="1" t="s">
        <v>21</v>
      </c>
      <c r="I1" t="s">
        <v>9</v>
      </c>
      <c r="J1" t="s">
        <v>10</v>
      </c>
      <c r="K1" t="s">
        <v>3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s="1" t="s">
        <v>22</v>
      </c>
    </row>
    <row r="2" spans="1:17" x14ac:dyDescent="0.4">
      <c r="A2" t="s">
        <v>14</v>
      </c>
      <c r="B2" t="s">
        <v>19</v>
      </c>
      <c r="C2" t="s">
        <v>16</v>
      </c>
      <c r="D2">
        <v>36500</v>
      </c>
      <c r="E2" t="str">
        <f>_xll.RssFOPCode(A2,B2,IF(C2="C",1,IF(C2="P",2,"")),D2)</f>
        <v>マーケットスピード II にログインして「接続中」の状態に変更してから利用してください。</v>
      </c>
      <c r="F2" t="str">
        <f>_xll.RssFOPMarket($E2,F$1)</f>
        <v/>
      </c>
      <c r="G2" t="str">
        <f>_xll.RssFOPMarket($E2,G$1)</f>
        <v/>
      </c>
      <c r="H2" t="str">
        <f>_xll.RssFOPMarket($E2,H$1)</f>
        <v/>
      </c>
      <c r="I2" t="str">
        <f>_xll.RssFOPMarket($E2,I$1)</f>
        <v/>
      </c>
      <c r="J2" t="str">
        <f>_xll.RssFOPMarket($E2,J$1)</f>
        <v/>
      </c>
      <c r="K2" t="str">
        <f>_xll.RssFOPMarket($E2,K$1)</f>
        <v/>
      </c>
      <c r="L2" t="str">
        <f>_xll.RssFOPMarket($E2,L$1)</f>
        <v/>
      </c>
      <c r="M2" t="str">
        <f>_xll.RssFOPMarket($E2,M$1)</f>
        <v/>
      </c>
      <c r="N2" t="str">
        <f>_xll.RssFOPMarket($E2,N$1)</f>
        <v/>
      </c>
      <c r="O2" t="str">
        <f>_xll.RssFOPMarket($E2,O$1)</f>
        <v/>
      </c>
      <c r="P2" t="str">
        <f>_xll.RssFOPMarket($E2,P$1)</f>
        <v/>
      </c>
      <c r="Q2" t="str">
        <f>_xll.RssFOPMarket($E2,Q$1)</f>
        <v/>
      </c>
    </row>
    <row r="3" spans="1:17" x14ac:dyDescent="0.4">
      <c r="A3" t="str">
        <f>A2</f>
        <v>N225MOP</v>
      </c>
      <c r="B3" t="str">
        <f>B2</f>
        <v>202310#4</v>
      </c>
      <c r="C3" t="str">
        <f>C2</f>
        <v>P</v>
      </c>
      <c r="D3">
        <f>D2-125</f>
        <v>36375</v>
      </c>
      <c r="E3" t="str">
        <f>_xll.RssFOPCode(A3,B3,IF(C3="C",1,IF(C3="P",2,"")),D3)</f>
        <v>マーケットスピード II にログインして「接続中」の状態に変更してから利用してください。</v>
      </c>
      <c r="F3" t="str">
        <f>_xll.RssFOPMarket($E3,F$1)</f>
        <v/>
      </c>
      <c r="G3" t="str">
        <f>_xll.RssFOPMarket($E3,G$1)</f>
        <v/>
      </c>
      <c r="H3" t="str">
        <f>_xll.RssFOPMarket($E3,H$1)</f>
        <v/>
      </c>
      <c r="I3" t="str">
        <f>_xll.RssFOPMarket($E3,I$1)</f>
        <v/>
      </c>
      <c r="J3" t="str">
        <f>_xll.RssFOPMarket($E3,J$1)</f>
        <v/>
      </c>
      <c r="K3" t="str">
        <f>_xll.RssFOPMarket($E3,K$1)</f>
        <v/>
      </c>
      <c r="L3" t="str">
        <f>_xll.RssFOPMarket($E3,L$1)</f>
        <v/>
      </c>
      <c r="M3" t="str">
        <f>_xll.RssFOPMarket($E3,M$1)</f>
        <v/>
      </c>
      <c r="N3" t="str">
        <f>_xll.RssFOPMarket($E3,N$1)</f>
        <v/>
      </c>
      <c r="O3" t="str">
        <f>_xll.RssFOPMarket($E3,O$1)</f>
        <v/>
      </c>
      <c r="P3" t="str">
        <f>_xll.RssFOPMarket($E3,P$1)</f>
        <v/>
      </c>
      <c r="Q3" t="str">
        <f>_xll.RssFOPMarket($E3,Q$1)</f>
        <v/>
      </c>
    </row>
    <row r="4" spans="1:17" x14ac:dyDescent="0.4">
      <c r="A4" t="str">
        <f t="shared" ref="A4:C67" si="0">A3</f>
        <v>N225MOP</v>
      </c>
      <c r="B4" t="str">
        <f t="shared" si="0"/>
        <v>202310#4</v>
      </c>
      <c r="C4" t="str">
        <f t="shared" si="0"/>
        <v>P</v>
      </c>
      <c r="D4">
        <f t="shared" ref="D4:D67" si="1">D3-125</f>
        <v>36250</v>
      </c>
      <c r="E4" t="str">
        <f>_xll.RssFOPCode(A4,B4,IF(C4="C",1,IF(C4="P",2,"")),D4)</f>
        <v>マーケットスピード II にログインして「接続中」の状態に変更してから利用してください。</v>
      </c>
      <c r="F4" t="str">
        <f>_xll.RssFOPMarket($E4,F$1)</f>
        <v/>
      </c>
      <c r="G4" t="str">
        <f>_xll.RssFOPMarket($E4,G$1)</f>
        <v/>
      </c>
      <c r="H4" t="str">
        <f>_xll.RssFOPMarket($E4,H$1)</f>
        <v/>
      </c>
      <c r="I4" t="str">
        <f>_xll.RssFOPMarket($E4,I$1)</f>
        <v/>
      </c>
      <c r="J4" t="str">
        <f>_xll.RssFOPMarket($E4,J$1)</f>
        <v/>
      </c>
      <c r="K4" t="str">
        <f>_xll.RssFOPMarket($E4,K$1)</f>
        <v/>
      </c>
      <c r="L4" t="str">
        <f>_xll.RssFOPMarket($E4,L$1)</f>
        <v/>
      </c>
      <c r="M4" t="str">
        <f>_xll.RssFOPMarket($E4,M$1)</f>
        <v/>
      </c>
      <c r="N4" t="str">
        <f>_xll.RssFOPMarket($E4,N$1)</f>
        <v/>
      </c>
      <c r="O4" t="str">
        <f>_xll.RssFOPMarket($E4,O$1)</f>
        <v/>
      </c>
      <c r="P4" t="str">
        <f>_xll.RssFOPMarket($E4,P$1)</f>
        <v/>
      </c>
      <c r="Q4" t="str">
        <f>_xll.RssFOPMarket($E4,Q$1)</f>
        <v/>
      </c>
    </row>
    <row r="5" spans="1:17" x14ac:dyDescent="0.4">
      <c r="A5" t="str">
        <f t="shared" si="0"/>
        <v>N225MOP</v>
      </c>
      <c r="B5" t="str">
        <f t="shared" si="0"/>
        <v>202310#4</v>
      </c>
      <c r="C5" t="str">
        <f t="shared" si="0"/>
        <v>P</v>
      </c>
      <c r="D5">
        <f t="shared" si="1"/>
        <v>36125</v>
      </c>
      <c r="E5" t="str">
        <f>_xll.RssFOPCode(A5,B5,IF(C5="C",1,IF(C5="P",2,"")),D5)</f>
        <v>マーケットスピード II にログインして「接続中」の状態に変更してから利用してください。</v>
      </c>
      <c r="F5" t="str">
        <f>_xll.RssFOPMarket($E5,F$1)</f>
        <v/>
      </c>
      <c r="G5" t="str">
        <f>_xll.RssFOPMarket($E5,G$1)</f>
        <v/>
      </c>
      <c r="H5" t="str">
        <f>_xll.RssFOPMarket($E5,H$1)</f>
        <v/>
      </c>
      <c r="I5" t="str">
        <f>_xll.RssFOPMarket($E5,I$1)</f>
        <v/>
      </c>
      <c r="J5" t="str">
        <f>_xll.RssFOPMarket($E5,J$1)</f>
        <v/>
      </c>
      <c r="K5" t="str">
        <f>_xll.RssFOPMarket($E5,K$1)</f>
        <v/>
      </c>
      <c r="L5" t="str">
        <f>_xll.RssFOPMarket($E5,L$1)</f>
        <v/>
      </c>
      <c r="M5" t="str">
        <f>_xll.RssFOPMarket($E5,M$1)</f>
        <v/>
      </c>
      <c r="N5" t="str">
        <f>_xll.RssFOPMarket($E5,N$1)</f>
        <v/>
      </c>
      <c r="O5" t="str">
        <f>_xll.RssFOPMarket($E5,O$1)</f>
        <v/>
      </c>
      <c r="P5" t="str">
        <f>_xll.RssFOPMarket($E5,P$1)</f>
        <v/>
      </c>
      <c r="Q5" t="str">
        <f>_xll.RssFOPMarket($E5,Q$1)</f>
        <v/>
      </c>
    </row>
    <row r="6" spans="1:17" x14ac:dyDescent="0.4">
      <c r="A6" t="str">
        <f t="shared" si="0"/>
        <v>N225MOP</v>
      </c>
      <c r="B6" t="str">
        <f t="shared" si="0"/>
        <v>202310#4</v>
      </c>
      <c r="C6" t="str">
        <f t="shared" si="0"/>
        <v>P</v>
      </c>
      <c r="D6">
        <f t="shared" si="1"/>
        <v>36000</v>
      </c>
      <c r="E6" t="str">
        <f>_xll.RssFOPCode(A6,B6,IF(C6="C",1,IF(C6="P",2,"")),D6)</f>
        <v>マーケットスピード II にログインして「接続中」の状態に変更してから利用してください。</v>
      </c>
      <c r="F6" t="str">
        <f>_xll.RssFOPMarket($E6,F$1)</f>
        <v/>
      </c>
      <c r="G6" t="str">
        <f>_xll.RssFOPMarket($E6,G$1)</f>
        <v/>
      </c>
      <c r="H6" t="str">
        <f>_xll.RssFOPMarket($E6,H$1)</f>
        <v/>
      </c>
      <c r="I6" t="str">
        <f>_xll.RssFOPMarket($E6,I$1)</f>
        <v/>
      </c>
      <c r="J6" t="str">
        <f>_xll.RssFOPMarket($E6,J$1)</f>
        <v/>
      </c>
      <c r="K6" t="str">
        <f>_xll.RssFOPMarket($E6,K$1)</f>
        <v/>
      </c>
      <c r="L6" t="str">
        <f>_xll.RssFOPMarket($E6,L$1)</f>
        <v/>
      </c>
      <c r="M6" t="str">
        <f>_xll.RssFOPMarket($E6,M$1)</f>
        <v/>
      </c>
      <c r="N6" t="str">
        <f>_xll.RssFOPMarket($E6,N$1)</f>
        <v/>
      </c>
      <c r="O6" t="str">
        <f>_xll.RssFOPMarket($E6,O$1)</f>
        <v/>
      </c>
      <c r="P6" t="str">
        <f>_xll.RssFOPMarket($E6,P$1)</f>
        <v/>
      </c>
      <c r="Q6" t="str">
        <f>_xll.RssFOPMarket($E6,Q$1)</f>
        <v/>
      </c>
    </row>
    <row r="7" spans="1:17" x14ac:dyDescent="0.4">
      <c r="A7" t="str">
        <f t="shared" si="0"/>
        <v>N225MOP</v>
      </c>
      <c r="B7" t="str">
        <f t="shared" si="0"/>
        <v>202310#4</v>
      </c>
      <c r="C7" t="str">
        <f t="shared" si="0"/>
        <v>P</v>
      </c>
      <c r="D7">
        <f t="shared" si="1"/>
        <v>35875</v>
      </c>
      <c r="E7" t="str">
        <f>_xll.RssFOPCode(A7,B7,IF(C7="C",1,IF(C7="P",2,"")),D7)</f>
        <v>マーケットスピード II にログインして「接続中」の状態に変更してから利用してください。</v>
      </c>
      <c r="F7" t="str">
        <f>_xll.RssFOPMarket($E7,F$1)</f>
        <v/>
      </c>
      <c r="G7" t="str">
        <f>_xll.RssFOPMarket($E7,G$1)</f>
        <v/>
      </c>
      <c r="H7" t="str">
        <f>_xll.RssFOPMarket($E7,H$1)</f>
        <v/>
      </c>
      <c r="I7" t="str">
        <f>_xll.RssFOPMarket($E7,I$1)</f>
        <v/>
      </c>
      <c r="J7" t="str">
        <f>_xll.RssFOPMarket($E7,J$1)</f>
        <v/>
      </c>
      <c r="K7" t="str">
        <f>_xll.RssFOPMarket($E7,K$1)</f>
        <v/>
      </c>
      <c r="L7" t="str">
        <f>_xll.RssFOPMarket($E7,L$1)</f>
        <v/>
      </c>
      <c r="M7" t="str">
        <f>_xll.RssFOPMarket($E7,M$1)</f>
        <v/>
      </c>
      <c r="N7" t="str">
        <f>_xll.RssFOPMarket($E7,N$1)</f>
        <v/>
      </c>
      <c r="O7" t="str">
        <f>_xll.RssFOPMarket($E7,O$1)</f>
        <v/>
      </c>
      <c r="P7" t="str">
        <f>_xll.RssFOPMarket($E7,P$1)</f>
        <v/>
      </c>
      <c r="Q7" t="str">
        <f>_xll.RssFOPMarket($E7,Q$1)</f>
        <v/>
      </c>
    </row>
    <row r="8" spans="1:17" x14ac:dyDescent="0.4">
      <c r="A8" t="str">
        <f t="shared" si="0"/>
        <v>N225MOP</v>
      </c>
      <c r="B8" t="str">
        <f t="shared" si="0"/>
        <v>202310#4</v>
      </c>
      <c r="C8" t="str">
        <f t="shared" si="0"/>
        <v>P</v>
      </c>
      <c r="D8">
        <f t="shared" si="1"/>
        <v>35750</v>
      </c>
      <c r="E8" t="str">
        <f>_xll.RssFOPCode(A8,B8,IF(C8="C",1,IF(C8="P",2,"")),D8)</f>
        <v>マーケットスピード II にログインして「接続中」の状態に変更してから利用してください。</v>
      </c>
      <c r="F8" t="str">
        <f>_xll.RssFOPMarket($E8,F$1)</f>
        <v/>
      </c>
      <c r="G8" t="str">
        <f>_xll.RssFOPMarket($E8,G$1)</f>
        <v/>
      </c>
      <c r="H8" t="str">
        <f>_xll.RssFOPMarket($E8,H$1)</f>
        <v/>
      </c>
      <c r="I8" t="str">
        <f>_xll.RssFOPMarket($E8,I$1)</f>
        <v/>
      </c>
      <c r="J8" t="str">
        <f>_xll.RssFOPMarket($E8,J$1)</f>
        <v/>
      </c>
      <c r="K8" t="str">
        <f>_xll.RssFOPMarket($E8,K$1)</f>
        <v/>
      </c>
      <c r="L8" t="str">
        <f>_xll.RssFOPMarket($E8,L$1)</f>
        <v/>
      </c>
      <c r="M8" t="str">
        <f>_xll.RssFOPMarket($E8,M$1)</f>
        <v/>
      </c>
      <c r="N8" t="str">
        <f>_xll.RssFOPMarket($E8,N$1)</f>
        <v/>
      </c>
      <c r="O8" t="str">
        <f>_xll.RssFOPMarket($E8,O$1)</f>
        <v/>
      </c>
      <c r="P8" t="str">
        <f>_xll.RssFOPMarket($E8,P$1)</f>
        <v/>
      </c>
      <c r="Q8" t="str">
        <f>_xll.RssFOPMarket($E8,Q$1)</f>
        <v/>
      </c>
    </row>
    <row r="9" spans="1:17" x14ac:dyDescent="0.4">
      <c r="A9" t="str">
        <f t="shared" si="0"/>
        <v>N225MOP</v>
      </c>
      <c r="B9" t="str">
        <f t="shared" si="0"/>
        <v>202310#4</v>
      </c>
      <c r="C9" t="str">
        <f t="shared" si="0"/>
        <v>P</v>
      </c>
      <c r="D9">
        <f t="shared" si="1"/>
        <v>35625</v>
      </c>
      <c r="E9" t="str">
        <f>_xll.RssFOPCode(A9,B9,IF(C9="C",1,IF(C9="P",2,"")),D9)</f>
        <v>マーケットスピード II にログインして「接続中」の状態に変更してから利用してください。</v>
      </c>
      <c r="F9" t="str">
        <f>_xll.RssFOPMarket($E9,F$1)</f>
        <v/>
      </c>
      <c r="G9" t="str">
        <f>_xll.RssFOPMarket($E9,G$1)</f>
        <v/>
      </c>
      <c r="H9" t="str">
        <f>_xll.RssFOPMarket($E9,H$1)</f>
        <v/>
      </c>
      <c r="I9" t="str">
        <f>_xll.RssFOPMarket($E9,I$1)</f>
        <v/>
      </c>
      <c r="J9" t="str">
        <f>_xll.RssFOPMarket($E9,J$1)</f>
        <v/>
      </c>
      <c r="K9" t="str">
        <f>_xll.RssFOPMarket($E9,K$1)</f>
        <v/>
      </c>
      <c r="L9" t="str">
        <f>_xll.RssFOPMarket($E9,L$1)</f>
        <v/>
      </c>
      <c r="M9" t="str">
        <f>_xll.RssFOPMarket($E9,M$1)</f>
        <v/>
      </c>
      <c r="N9" t="str">
        <f>_xll.RssFOPMarket($E9,N$1)</f>
        <v/>
      </c>
      <c r="O9" t="str">
        <f>_xll.RssFOPMarket($E9,O$1)</f>
        <v/>
      </c>
      <c r="P9" t="str">
        <f>_xll.RssFOPMarket($E9,P$1)</f>
        <v/>
      </c>
      <c r="Q9" t="str">
        <f>_xll.RssFOPMarket($E9,Q$1)</f>
        <v/>
      </c>
    </row>
    <row r="10" spans="1:17" x14ac:dyDescent="0.4">
      <c r="A10" t="str">
        <f t="shared" si="0"/>
        <v>N225MOP</v>
      </c>
      <c r="B10" t="str">
        <f t="shared" si="0"/>
        <v>202310#4</v>
      </c>
      <c r="C10" t="str">
        <f t="shared" si="0"/>
        <v>P</v>
      </c>
      <c r="D10">
        <f t="shared" si="1"/>
        <v>35500</v>
      </c>
      <c r="E10" t="str">
        <f>_xll.RssFOPCode(A10,B10,IF(C10="C",1,IF(C10="P",2,"")),D10)</f>
        <v>マーケットスピード II にログインして「接続中」の状態に変更してから利用してください。</v>
      </c>
      <c r="F10" t="str">
        <f>_xll.RssFOPMarket($E10,F$1)</f>
        <v/>
      </c>
      <c r="G10" t="str">
        <f>_xll.RssFOPMarket($E10,G$1)</f>
        <v/>
      </c>
      <c r="H10" t="str">
        <f>_xll.RssFOPMarket($E10,H$1)</f>
        <v/>
      </c>
      <c r="I10" t="str">
        <f>_xll.RssFOPMarket($E10,I$1)</f>
        <v/>
      </c>
      <c r="J10" t="str">
        <f>_xll.RssFOPMarket($E10,J$1)</f>
        <v/>
      </c>
      <c r="K10" t="str">
        <f>_xll.RssFOPMarket($E10,K$1)</f>
        <v/>
      </c>
      <c r="L10" t="str">
        <f>_xll.RssFOPMarket($E10,L$1)</f>
        <v/>
      </c>
      <c r="M10" t="str">
        <f>_xll.RssFOPMarket($E10,M$1)</f>
        <v/>
      </c>
      <c r="N10" t="str">
        <f>_xll.RssFOPMarket($E10,N$1)</f>
        <v/>
      </c>
      <c r="O10" t="str">
        <f>_xll.RssFOPMarket($E10,O$1)</f>
        <v/>
      </c>
      <c r="P10" t="str">
        <f>_xll.RssFOPMarket($E10,P$1)</f>
        <v/>
      </c>
      <c r="Q10" t="str">
        <f>_xll.RssFOPMarket($E10,Q$1)</f>
        <v/>
      </c>
    </row>
    <row r="11" spans="1:17" x14ac:dyDescent="0.4">
      <c r="A11" t="str">
        <f t="shared" si="0"/>
        <v>N225MOP</v>
      </c>
      <c r="B11" t="str">
        <f t="shared" si="0"/>
        <v>202310#4</v>
      </c>
      <c r="C11" t="str">
        <f t="shared" si="0"/>
        <v>P</v>
      </c>
      <c r="D11">
        <f t="shared" si="1"/>
        <v>35375</v>
      </c>
      <c r="E11" t="str">
        <f>_xll.RssFOPCode(A11,B11,IF(C11="C",1,IF(C11="P",2,"")),D11)</f>
        <v>マーケットスピード II にログインして「接続中」の状態に変更してから利用してください。</v>
      </c>
      <c r="F11" t="str">
        <f>_xll.RssFOPMarket($E11,F$1)</f>
        <v/>
      </c>
      <c r="G11" t="str">
        <f>_xll.RssFOPMarket($E11,G$1)</f>
        <v/>
      </c>
      <c r="H11" t="str">
        <f>_xll.RssFOPMarket($E11,H$1)</f>
        <v/>
      </c>
      <c r="I11" t="str">
        <f>_xll.RssFOPMarket($E11,I$1)</f>
        <v/>
      </c>
      <c r="J11" t="str">
        <f>_xll.RssFOPMarket($E11,J$1)</f>
        <v/>
      </c>
      <c r="K11" t="str">
        <f>_xll.RssFOPMarket($E11,K$1)</f>
        <v/>
      </c>
      <c r="L11" t="str">
        <f>_xll.RssFOPMarket($E11,L$1)</f>
        <v/>
      </c>
      <c r="M11" t="str">
        <f>_xll.RssFOPMarket($E11,M$1)</f>
        <v/>
      </c>
      <c r="N11" t="str">
        <f>_xll.RssFOPMarket($E11,N$1)</f>
        <v/>
      </c>
      <c r="O11" t="str">
        <f>_xll.RssFOPMarket($E11,O$1)</f>
        <v/>
      </c>
      <c r="P11" t="str">
        <f>_xll.RssFOPMarket($E11,P$1)</f>
        <v/>
      </c>
      <c r="Q11" t="str">
        <f>_xll.RssFOPMarket($E11,Q$1)</f>
        <v/>
      </c>
    </row>
    <row r="12" spans="1:17" x14ac:dyDescent="0.4">
      <c r="A12" t="str">
        <f t="shared" si="0"/>
        <v>N225MOP</v>
      </c>
      <c r="B12" t="str">
        <f t="shared" si="0"/>
        <v>202310#4</v>
      </c>
      <c r="C12" t="str">
        <f t="shared" si="0"/>
        <v>P</v>
      </c>
      <c r="D12">
        <f t="shared" si="1"/>
        <v>35250</v>
      </c>
      <c r="E12" t="str">
        <f>_xll.RssFOPCode(A12,B12,IF(C12="C",1,IF(C12="P",2,"")),D12)</f>
        <v>マーケットスピード II にログインして「接続中」の状態に変更してから利用してください。</v>
      </c>
      <c r="F12" t="str">
        <f>_xll.RssFOPMarket($E12,F$1)</f>
        <v/>
      </c>
      <c r="G12" t="str">
        <f>_xll.RssFOPMarket($E12,G$1)</f>
        <v/>
      </c>
      <c r="H12" t="str">
        <f>_xll.RssFOPMarket($E12,H$1)</f>
        <v/>
      </c>
      <c r="I12" t="str">
        <f>_xll.RssFOPMarket($E12,I$1)</f>
        <v/>
      </c>
      <c r="J12" t="str">
        <f>_xll.RssFOPMarket($E12,J$1)</f>
        <v/>
      </c>
      <c r="K12" t="str">
        <f>_xll.RssFOPMarket($E12,K$1)</f>
        <v/>
      </c>
      <c r="L12" t="str">
        <f>_xll.RssFOPMarket($E12,L$1)</f>
        <v/>
      </c>
      <c r="M12" t="str">
        <f>_xll.RssFOPMarket($E12,M$1)</f>
        <v/>
      </c>
      <c r="N12" t="str">
        <f>_xll.RssFOPMarket($E12,N$1)</f>
        <v/>
      </c>
      <c r="O12" t="str">
        <f>_xll.RssFOPMarket($E12,O$1)</f>
        <v/>
      </c>
      <c r="P12" t="str">
        <f>_xll.RssFOPMarket($E12,P$1)</f>
        <v/>
      </c>
      <c r="Q12" t="str">
        <f>_xll.RssFOPMarket($E12,Q$1)</f>
        <v/>
      </c>
    </row>
    <row r="13" spans="1:17" x14ac:dyDescent="0.4">
      <c r="A13" t="str">
        <f t="shared" si="0"/>
        <v>N225MOP</v>
      </c>
      <c r="B13" t="str">
        <f t="shared" si="0"/>
        <v>202310#4</v>
      </c>
      <c r="C13" t="str">
        <f t="shared" si="0"/>
        <v>P</v>
      </c>
      <c r="D13">
        <f t="shared" si="1"/>
        <v>35125</v>
      </c>
      <c r="E13" t="str">
        <f>_xll.RssFOPCode(A13,B13,IF(C13="C",1,IF(C13="P",2,"")),D13)</f>
        <v>マーケットスピード II にログインして「接続中」の状態に変更してから利用してください。</v>
      </c>
      <c r="F13" t="str">
        <f>_xll.RssFOPMarket($E13,F$1)</f>
        <v/>
      </c>
      <c r="G13" t="str">
        <f>_xll.RssFOPMarket($E13,G$1)</f>
        <v/>
      </c>
      <c r="H13" t="str">
        <f>_xll.RssFOPMarket($E13,H$1)</f>
        <v/>
      </c>
      <c r="I13" t="str">
        <f>_xll.RssFOPMarket($E13,I$1)</f>
        <v/>
      </c>
      <c r="J13" t="str">
        <f>_xll.RssFOPMarket($E13,J$1)</f>
        <v/>
      </c>
      <c r="K13" t="str">
        <f>_xll.RssFOPMarket($E13,K$1)</f>
        <v/>
      </c>
      <c r="L13" t="str">
        <f>_xll.RssFOPMarket($E13,L$1)</f>
        <v/>
      </c>
      <c r="M13" t="str">
        <f>_xll.RssFOPMarket($E13,M$1)</f>
        <v/>
      </c>
      <c r="N13" t="str">
        <f>_xll.RssFOPMarket($E13,N$1)</f>
        <v/>
      </c>
      <c r="O13" t="str">
        <f>_xll.RssFOPMarket($E13,O$1)</f>
        <v/>
      </c>
      <c r="P13" t="str">
        <f>_xll.RssFOPMarket($E13,P$1)</f>
        <v/>
      </c>
      <c r="Q13" t="str">
        <f>_xll.RssFOPMarket($E13,Q$1)</f>
        <v/>
      </c>
    </row>
    <row r="14" spans="1:17" x14ac:dyDescent="0.4">
      <c r="A14" t="str">
        <f t="shared" si="0"/>
        <v>N225MOP</v>
      </c>
      <c r="B14" t="str">
        <f t="shared" si="0"/>
        <v>202310#4</v>
      </c>
      <c r="C14" t="str">
        <f t="shared" si="0"/>
        <v>P</v>
      </c>
      <c r="D14">
        <f t="shared" si="1"/>
        <v>35000</v>
      </c>
      <c r="E14" t="str">
        <f>_xll.RssFOPCode(A14,B14,IF(C14="C",1,IF(C14="P",2,"")),D14)</f>
        <v>マーケットスピード II にログインして「接続中」の状態に変更してから利用してください。</v>
      </c>
      <c r="F14" t="str">
        <f>_xll.RssFOPMarket($E14,F$1)</f>
        <v/>
      </c>
      <c r="G14" t="str">
        <f>_xll.RssFOPMarket($E14,G$1)</f>
        <v/>
      </c>
      <c r="H14" t="str">
        <f>_xll.RssFOPMarket($E14,H$1)</f>
        <v/>
      </c>
      <c r="I14" t="str">
        <f>_xll.RssFOPMarket($E14,I$1)</f>
        <v/>
      </c>
      <c r="J14" t="str">
        <f>_xll.RssFOPMarket($E14,J$1)</f>
        <v/>
      </c>
      <c r="K14" t="str">
        <f>_xll.RssFOPMarket($E14,K$1)</f>
        <v/>
      </c>
      <c r="L14" t="str">
        <f>_xll.RssFOPMarket($E14,L$1)</f>
        <v/>
      </c>
      <c r="M14" t="str">
        <f>_xll.RssFOPMarket($E14,M$1)</f>
        <v/>
      </c>
      <c r="N14" t="str">
        <f>_xll.RssFOPMarket($E14,N$1)</f>
        <v/>
      </c>
      <c r="O14" t="str">
        <f>_xll.RssFOPMarket($E14,O$1)</f>
        <v/>
      </c>
      <c r="P14" t="str">
        <f>_xll.RssFOPMarket($E14,P$1)</f>
        <v/>
      </c>
      <c r="Q14" t="str">
        <f>_xll.RssFOPMarket($E14,Q$1)</f>
        <v/>
      </c>
    </row>
    <row r="15" spans="1:17" x14ac:dyDescent="0.4">
      <c r="A15" t="str">
        <f t="shared" si="0"/>
        <v>N225MOP</v>
      </c>
      <c r="B15" t="str">
        <f t="shared" si="0"/>
        <v>202310#4</v>
      </c>
      <c r="C15" t="str">
        <f t="shared" si="0"/>
        <v>P</v>
      </c>
      <c r="D15">
        <f t="shared" si="1"/>
        <v>34875</v>
      </c>
      <c r="E15" t="str">
        <f>_xll.RssFOPCode(A15,B15,IF(C15="C",1,IF(C15="P",2,"")),D15)</f>
        <v>マーケットスピード II にログインして「接続中」の状態に変更してから利用してください。</v>
      </c>
      <c r="F15" t="str">
        <f>_xll.RssFOPMarket($E15,F$1)</f>
        <v/>
      </c>
      <c r="G15" t="str">
        <f>_xll.RssFOPMarket($E15,G$1)</f>
        <v/>
      </c>
      <c r="H15" t="str">
        <f>_xll.RssFOPMarket($E15,H$1)</f>
        <v/>
      </c>
      <c r="I15" t="str">
        <f>_xll.RssFOPMarket($E15,I$1)</f>
        <v/>
      </c>
      <c r="J15" t="str">
        <f>_xll.RssFOPMarket($E15,J$1)</f>
        <v/>
      </c>
      <c r="K15" t="str">
        <f>_xll.RssFOPMarket($E15,K$1)</f>
        <v/>
      </c>
      <c r="L15" t="str">
        <f>_xll.RssFOPMarket($E15,L$1)</f>
        <v/>
      </c>
      <c r="M15" t="str">
        <f>_xll.RssFOPMarket($E15,M$1)</f>
        <v/>
      </c>
      <c r="N15" t="str">
        <f>_xll.RssFOPMarket($E15,N$1)</f>
        <v/>
      </c>
      <c r="O15" t="str">
        <f>_xll.RssFOPMarket($E15,O$1)</f>
        <v/>
      </c>
      <c r="P15" t="str">
        <f>_xll.RssFOPMarket($E15,P$1)</f>
        <v/>
      </c>
      <c r="Q15" t="str">
        <f>_xll.RssFOPMarket($E15,Q$1)</f>
        <v/>
      </c>
    </row>
    <row r="16" spans="1:17" x14ac:dyDescent="0.4">
      <c r="A16" t="str">
        <f t="shared" si="0"/>
        <v>N225MOP</v>
      </c>
      <c r="B16" t="str">
        <f t="shared" si="0"/>
        <v>202310#4</v>
      </c>
      <c r="C16" t="str">
        <f t="shared" si="0"/>
        <v>P</v>
      </c>
      <c r="D16">
        <f t="shared" si="1"/>
        <v>34750</v>
      </c>
      <c r="E16" t="str">
        <f>_xll.RssFOPCode(A16,B16,IF(C16="C",1,IF(C16="P",2,"")),D16)</f>
        <v>マーケットスピード II にログインして「接続中」の状態に変更してから利用してください。</v>
      </c>
      <c r="F16" t="str">
        <f>_xll.RssFOPMarket($E16,F$1)</f>
        <v/>
      </c>
      <c r="G16" t="str">
        <f>_xll.RssFOPMarket($E16,G$1)</f>
        <v/>
      </c>
      <c r="H16" t="str">
        <f>_xll.RssFOPMarket($E16,H$1)</f>
        <v/>
      </c>
      <c r="I16" t="str">
        <f>_xll.RssFOPMarket($E16,I$1)</f>
        <v/>
      </c>
      <c r="J16" t="str">
        <f>_xll.RssFOPMarket($E16,J$1)</f>
        <v/>
      </c>
      <c r="K16" t="str">
        <f>_xll.RssFOPMarket($E16,K$1)</f>
        <v/>
      </c>
      <c r="L16" t="str">
        <f>_xll.RssFOPMarket($E16,L$1)</f>
        <v/>
      </c>
      <c r="M16" t="str">
        <f>_xll.RssFOPMarket($E16,M$1)</f>
        <v/>
      </c>
      <c r="N16" t="str">
        <f>_xll.RssFOPMarket($E16,N$1)</f>
        <v/>
      </c>
      <c r="O16" t="str">
        <f>_xll.RssFOPMarket($E16,O$1)</f>
        <v/>
      </c>
      <c r="P16" t="str">
        <f>_xll.RssFOPMarket($E16,P$1)</f>
        <v/>
      </c>
      <c r="Q16" t="str">
        <f>_xll.RssFOPMarket($E16,Q$1)</f>
        <v/>
      </c>
    </row>
    <row r="17" spans="1:17" x14ac:dyDescent="0.4">
      <c r="A17" t="str">
        <f t="shared" si="0"/>
        <v>N225MOP</v>
      </c>
      <c r="B17" t="str">
        <f t="shared" si="0"/>
        <v>202310#4</v>
      </c>
      <c r="C17" t="str">
        <f t="shared" si="0"/>
        <v>P</v>
      </c>
      <c r="D17">
        <f t="shared" si="1"/>
        <v>34625</v>
      </c>
      <c r="E17" t="str">
        <f>_xll.RssFOPCode(A17,B17,IF(C17="C",1,IF(C17="P",2,"")),D17)</f>
        <v>マーケットスピード II にログインして「接続中」の状態に変更してから利用してください。</v>
      </c>
      <c r="F17" t="str">
        <f>_xll.RssFOPMarket($E17,F$1)</f>
        <v/>
      </c>
      <c r="G17" t="str">
        <f>_xll.RssFOPMarket($E17,G$1)</f>
        <v/>
      </c>
      <c r="H17" t="str">
        <f>_xll.RssFOPMarket($E17,H$1)</f>
        <v/>
      </c>
      <c r="I17" t="str">
        <f>_xll.RssFOPMarket($E17,I$1)</f>
        <v/>
      </c>
      <c r="J17" t="str">
        <f>_xll.RssFOPMarket($E17,J$1)</f>
        <v/>
      </c>
      <c r="K17" t="str">
        <f>_xll.RssFOPMarket($E17,K$1)</f>
        <v/>
      </c>
      <c r="L17" t="str">
        <f>_xll.RssFOPMarket($E17,L$1)</f>
        <v/>
      </c>
      <c r="M17" t="str">
        <f>_xll.RssFOPMarket($E17,M$1)</f>
        <v/>
      </c>
      <c r="N17" t="str">
        <f>_xll.RssFOPMarket($E17,N$1)</f>
        <v/>
      </c>
      <c r="O17" t="str">
        <f>_xll.RssFOPMarket($E17,O$1)</f>
        <v/>
      </c>
      <c r="P17" t="str">
        <f>_xll.RssFOPMarket($E17,P$1)</f>
        <v/>
      </c>
      <c r="Q17" t="str">
        <f>_xll.RssFOPMarket($E17,Q$1)</f>
        <v/>
      </c>
    </row>
    <row r="18" spans="1:17" x14ac:dyDescent="0.4">
      <c r="A18" t="str">
        <f t="shared" si="0"/>
        <v>N225MOP</v>
      </c>
      <c r="B18" t="str">
        <f t="shared" si="0"/>
        <v>202310#4</v>
      </c>
      <c r="C18" t="str">
        <f t="shared" si="0"/>
        <v>P</v>
      </c>
      <c r="D18">
        <f t="shared" si="1"/>
        <v>34500</v>
      </c>
      <c r="E18" t="str">
        <f>_xll.RssFOPCode(A18,B18,IF(C18="C",1,IF(C18="P",2,"")),D18)</f>
        <v>マーケットスピード II にログインして「接続中」の状態に変更してから利用してください。</v>
      </c>
      <c r="F18" t="str">
        <f>_xll.RssFOPMarket($E18,F$1)</f>
        <v/>
      </c>
      <c r="G18" t="str">
        <f>_xll.RssFOPMarket($E18,G$1)</f>
        <v/>
      </c>
      <c r="H18" t="str">
        <f>_xll.RssFOPMarket($E18,H$1)</f>
        <v/>
      </c>
      <c r="I18" t="str">
        <f>_xll.RssFOPMarket($E18,I$1)</f>
        <v/>
      </c>
      <c r="J18" t="str">
        <f>_xll.RssFOPMarket($E18,J$1)</f>
        <v/>
      </c>
      <c r="K18" t="str">
        <f>_xll.RssFOPMarket($E18,K$1)</f>
        <v/>
      </c>
      <c r="L18" t="str">
        <f>_xll.RssFOPMarket($E18,L$1)</f>
        <v/>
      </c>
      <c r="M18" t="str">
        <f>_xll.RssFOPMarket($E18,M$1)</f>
        <v/>
      </c>
      <c r="N18" t="str">
        <f>_xll.RssFOPMarket($E18,N$1)</f>
        <v/>
      </c>
      <c r="O18" t="str">
        <f>_xll.RssFOPMarket($E18,O$1)</f>
        <v/>
      </c>
      <c r="P18" t="str">
        <f>_xll.RssFOPMarket($E18,P$1)</f>
        <v/>
      </c>
      <c r="Q18" t="str">
        <f>_xll.RssFOPMarket($E18,Q$1)</f>
        <v/>
      </c>
    </row>
    <row r="19" spans="1:17" x14ac:dyDescent="0.4">
      <c r="A19" t="str">
        <f t="shared" si="0"/>
        <v>N225MOP</v>
      </c>
      <c r="B19" t="str">
        <f t="shared" si="0"/>
        <v>202310#4</v>
      </c>
      <c r="C19" t="str">
        <f t="shared" si="0"/>
        <v>P</v>
      </c>
      <c r="D19">
        <f t="shared" si="1"/>
        <v>34375</v>
      </c>
      <c r="E19" t="str">
        <f>_xll.RssFOPCode(A19,B19,IF(C19="C",1,IF(C19="P",2,"")),D19)</f>
        <v>マーケットスピード II にログインして「接続中」の状態に変更してから利用してください。</v>
      </c>
      <c r="F19" t="str">
        <f>_xll.RssFOPMarket($E19,F$1)</f>
        <v/>
      </c>
      <c r="G19" t="str">
        <f>_xll.RssFOPMarket($E19,G$1)</f>
        <v/>
      </c>
      <c r="H19" t="str">
        <f>_xll.RssFOPMarket($E19,H$1)</f>
        <v/>
      </c>
      <c r="I19" t="str">
        <f>_xll.RssFOPMarket($E19,I$1)</f>
        <v/>
      </c>
      <c r="J19" t="str">
        <f>_xll.RssFOPMarket($E19,J$1)</f>
        <v/>
      </c>
      <c r="K19" t="str">
        <f>_xll.RssFOPMarket($E19,K$1)</f>
        <v/>
      </c>
      <c r="L19" t="str">
        <f>_xll.RssFOPMarket($E19,L$1)</f>
        <v/>
      </c>
      <c r="M19" t="str">
        <f>_xll.RssFOPMarket($E19,M$1)</f>
        <v/>
      </c>
      <c r="N19" t="str">
        <f>_xll.RssFOPMarket($E19,N$1)</f>
        <v/>
      </c>
      <c r="O19" t="str">
        <f>_xll.RssFOPMarket($E19,O$1)</f>
        <v/>
      </c>
      <c r="P19" t="str">
        <f>_xll.RssFOPMarket($E19,P$1)</f>
        <v/>
      </c>
      <c r="Q19" t="str">
        <f>_xll.RssFOPMarket($E19,Q$1)</f>
        <v/>
      </c>
    </row>
    <row r="20" spans="1:17" x14ac:dyDescent="0.4">
      <c r="A20" t="str">
        <f t="shared" si="0"/>
        <v>N225MOP</v>
      </c>
      <c r="B20" t="str">
        <f t="shared" si="0"/>
        <v>202310#4</v>
      </c>
      <c r="C20" t="str">
        <f t="shared" si="0"/>
        <v>P</v>
      </c>
      <c r="D20">
        <f t="shared" si="1"/>
        <v>34250</v>
      </c>
      <c r="E20" t="str">
        <f>_xll.RssFOPCode(A20,B20,IF(C20="C",1,IF(C20="P",2,"")),D20)</f>
        <v>マーケットスピード II にログインして「接続中」の状態に変更してから利用してください。</v>
      </c>
      <c r="F20" t="str">
        <f>_xll.RssFOPMarket($E20,F$1)</f>
        <v/>
      </c>
      <c r="G20" t="str">
        <f>_xll.RssFOPMarket($E20,G$1)</f>
        <v/>
      </c>
      <c r="H20" t="str">
        <f>_xll.RssFOPMarket($E20,H$1)</f>
        <v/>
      </c>
      <c r="I20" t="str">
        <f>_xll.RssFOPMarket($E20,I$1)</f>
        <v/>
      </c>
      <c r="J20" t="str">
        <f>_xll.RssFOPMarket($E20,J$1)</f>
        <v/>
      </c>
      <c r="K20" t="str">
        <f>_xll.RssFOPMarket($E20,K$1)</f>
        <v/>
      </c>
      <c r="L20" t="str">
        <f>_xll.RssFOPMarket($E20,L$1)</f>
        <v/>
      </c>
      <c r="M20" t="str">
        <f>_xll.RssFOPMarket($E20,M$1)</f>
        <v/>
      </c>
      <c r="N20" t="str">
        <f>_xll.RssFOPMarket($E20,N$1)</f>
        <v/>
      </c>
      <c r="O20" t="str">
        <f>_xll.RssFOPMarket($E20,O$1)</f>
        <v/>
      </c>
      <c r="P20" t="str">
        <f>_xll.RssFOPMarket($E20,P$1)</f>
        <v/>
      </c>
      <c r="Q20" t="str">
        <f>_xll.RssFOPMarket($E20,Q$1)</f>
        <v/>
      </c>
    </row>
    <row r="21" spans="1:17" x14ac:dyDescent="0.4">
      <c r="A21" t="str">
        <f t="shared" si="0"/>
        <v>N225MOP</v>
      </c>
      <c r="B21" t="str">
        <f t="shared" si="0"/>
        <v>202310#4</v>
      </c>
      <c r="C21" t="str">
        <f t="shared" si="0"/>
        <v>P</v>
      </c>
      <c r="D21">
        <f t="shared" si="1"/>
        <v>34125</v>
      </c>
      <c r="E21" t="str">
        <f>_xll.RssFOPCode(A21,B21,IF(C21="C",1,IF(C21="P",2,"")),D21)</f>
        <v>マーケットスピード II にログインして「接続中」の状態に変更してから利用してください。</v>
      </c>
      <c r="F21" t="str">
        <f>_xll.RssFOPMarket($E21,F$1)</f>
        <v/>
      </c>
      <c r="G21" t="str">
        <f>_xll.RssFOPMarket($E21,G$1)</f>
        <v/>
      </c>
      <c r="H21" t="str">
        <f>_xll.RssFOPMarket($E21,H$1)</f>
        <v/>
      </c>
      <c r="I21" t="str">
        <f>_xll.RssFOPMarket($E21,I$1)</f>
        <v/>
      </c>
      <c r="J21" t="str">
        <f>_xll.RssFOPMarket($E21,J$1)</f>
        <v/>
      </c>
      <c r="K21" t="str">
        <f>_xll.RssFOPMarket($E21,K$1)</f>
        <v/>
      </c>
      <c r="L21" t="str">
        <f>_xll.RssFOPMarket($E21,L$1)</f>
        <v/>
      </c>
      <c r="M21" t="str">
        <f>_xll.RssFOPMarket($E21,M$1)</f>
        <v/>
      </c>
      <c r="N21" t="str">
        <f>_xll.RssFOPMarket($E21,N$1)</f>
        <v/>
      </c>
      <c r="O21" t="str">
        <f>_xll.RssFOPMarket($E21,O$1)</f>
        <v/>
      </c>
      <c r="P21" t="str">
        <f>_xll.RssFOPMarket($E21,P$1)</f>
        <v/>
      </c>
      <c r="Q21" t="str">
        <f>_xll.RssFOPMarket($E21,Q$1)</f>
        <v/>
      </c>
    </row>
    <row r="22" spans="1:17" x14ac:dyDescent="0.4">
      <c r="A22" t="str">
        <f t="shared" si="0"/>
        <v>N225MOP</v>
      </c>
      <c r="B22" t="str">
        <f t="shared" si="0"/>
        <v>202310#4</v>
      </c>
      <c r="C22" t="str">
        <f t="shared" si="0"/>
        <v>P</v>
      </c>
      <c r="D22">
        <f t="shared" si="1"/>
        <v>34000</v>
      </c>
      <c r="E22" t="str">
        <f>_xll.RssFOPCode(A22,B22,IF(C22="C",1,IF(C22="P",2,"")),D22)</f>
        <v>マーケットスピード II にログインして「接続中」の状態に変更してから利用してください。</v>
      </c>
      <c r="F22" t="str">
        <f>_xll.RssFOPMarket($E22,F$1)</f>
        <v/>
      </c>
      <c r="G22" t="str">
        <f>_xll.RssFOPMarket($E22,G$1)</f>
        <v/>
      </c>
      <c r="H22" t="str">
        <f>_xll.RssFOPMarket($E22,H$1)</f>
        <v/>
      </c>
      <c r="I22" t="str">
        <f>_xll.RssFOPMarket($E22,I$1)</f>
        <v/>
      </c>
      <c r="J22" t="str">
        <f>_xll.RssFOPMarket($E22,J$1)</f>
        <v/>
      </c>
      <c r="K22" t="str">
        <f>_xll.RssFOPMarket($E22,K$1)</f>
        <v/>
      </c>
      <c r="L22" t="str">
        <f>_xll.RssFOPMarket($E22,L$1)</f>
        <v/>
      </c>
      <c r="M22" t="str">
        <f>_xll.RssFOPMarket($E22,M$1)</f>
        <v/>
      </c>
      <c r="N22" t="str">
        <f>_xll.RssFOPMarket($E22,N$1)</f>
        <v/>
      </c>
      <c r="O22" t="str">
        <f>_xll.RssFOPMarket($E22,O$1)</f>
        <v/>
      </c>
      <c r="P22" t="str">
        <f>_xll.RssFOPMarket($E22,P$1)</f>
        <v/>
      </c>
      <c r="Q22" t="str">
        <f>_xll.RssFOPMarket($E22,Q$1)</f>
        <v/>
      </c>
    </row>
    <row r="23" spans="1:17" x14ac:dyDescent="0.4">
      <c r="A23" t="str">
        <f t="shared" si="0"/>
        <v>N225MOP</v>
      </c>
      <c r="B23" t="str">
        <f t="shared" si="0"/>
        <v>202310#4</v>
      </c>
      <c r="C23" t="str">
        <f t="shared" si="0"/>
        <v>P</v>
      </c>
      <c r="D23">
        <f t="shared" si="1"/>
        <v>33875</v>
      </c>
      <c r="E23" t="str">
        <f>_xll.RssFOPCode(A23,B23,IF(C23="C",1,IF(C23="P",2,"")),D23)</f>
        <v>マーケットスピード II にログインして「接続中」の状態に変更してから利用してください。</v>
      </c>
      <c r="F23" t="str">
        <f>_xll.RssFOPMarket($E23,F$1)</f>
        <v/>
      </c>
      <c r="G23" t="str">
        <f>_xll.RssFOPMarket($E23,G$1)</f>
        <v/>
      </c>
      <c r="H23" t="str">
        <f>_xll.RssFOPMarket($E23,H$1)</f>
        <v/>
      </c>
      <c r="I23" t="str">
        <f>_xll.RssFOPMarket($E23,I$1)</f>
        <v/>
      </c>
      <c r="J23" t="str">
        <f>_xll.RssFOPMarket($E23,J$1)</f>
        <v/>
      </c>
      <c r="K23" t="str">
        <f>_xll.RssFOPMarket($E23,K$1)</f>
        <v/>
      </c>
      <c r="L23" t="str">
        <f>_xll.RssFOPMarket($E23,L$1)</f>
        <v/>
      </c>
      <c r="M23" t="str">
        <f>_xll.RssFOPMarket($E23,M$1)</f>
        <v/>
      </c>
      <c r="N23" t="str">
        <f>_xll.RssFOPMarket($E23,N$1)</f>
        <v/>
      </c>
      <c r="O23" t="str">
        <f>_xll.RssFOPMarket($E23,O$1)</f>
        <v/>
      </c>
      <c r="P23" t="str">
        <f>_xll.RssFOPMarket($E23,P$1)</f>
        <v/>
      </c>
      <c r="Q23" t="str">
        <f>_xll.RssFOPMarket($E23,Q$1)</f>
        <v/>
      </c>
    </row>
    <row r="24" spans="1:17" x14ac:dyDescent="0.4">
      <c r="A24" t="str">
        <f t="shared" si="0"/>
        <v>N225MOP</v>
      </c>
      <c r="B24" t="str">
        <f t="shared" si="0"/>
        <v>202310#4</v>
      </c>
      <c r="C24" t="str">
        <f t="shared" si="0"/>
        <v>P</v>
      </c>
      <c r="D24">
        <f t="shared" si="1"/>
        <v>33750</v>
      </c>
      <c r="E24" t="str">
        <f>_xll.RssFOPCode(A24,B24,IF(C24="C",1,IF(C24="P",2,"")),D24)</f>
        <v>マーケットスピード II にログインして「接続中」の状態に変更してから利用してください。</v>
      </c>
      <c r="F24" t="str">
        <f>_xll.RssFOPMarket($E24,F$1)</f>
        <v/>
      </c>
      <c r="G24" t="str">
        <f>_xll.RssFOPMarket($E24,G$1)</f>
        <v/>
      </c>
      <c r="H24" t="str">
        <f>_xll.RssFOPMarket($E24,H$1)</f>
        <v/>
      </c>
      <c r="I24" t="str">
        <f>_xll.RssFOPMarket($E24,I$1)</f>
        <v/>
      </c>
      <c r="J24" t="str">
        <f>_xll.RssFOPMarket($E24,J$1)</f>
        <v/>
      </c>
      <c r="K24" t="str">
        <f>_xll.RssFOPMarket($E24,K$1)</f>
        <v/>
      </c>
      <c r="L24" t="str">
        <f>_xll.RssFOPMarket($E24,L$1)</f>
        <v/>
      </c>
      <c r="M24" t="str">
        <f>_xll.RssFOPMarket($E24,M$1)</f>
        <v/>
      </c>
      <c r="N24" t="str">
        <f>_xll.RssFOPMarket($E24,N$1)</f>
        <v/>
      </c>
      <c r="O24" t="str">
        <f>_xll.RssFOPMarket($E24,O$1)</f>
        <v/>
      </c>
      <c r="P24" t="str">
        <f>_xll.RssFOPMarket($E24,P$1)</f>
        <v/>
      </c>
      <c r="Q24" t="str">
        <f>_xll.RssFOPMarket($E24,Q$1)</f>
        <v/>
      </c>
    </row>
    <row r="25" spans="1:17" x14ac:dyDescent="0.4">
      <c r="A25" t="str">
        <f t="shared" si="0"/>
        <v>N225MOP</v>
      </c>
      <c r="B25" t="str">
        <f t="shared" si="0"/>
        <v>202310#4</v>
      </c>
      <c r="C25" t="str">
        <f t="shared" si="0"/>
        <v>P</v>
      </c>
      <c r="D25">
        <f t="shared" si="1"/>
        <v>33625</v>
      </c>
      <c r="E25" t="str">
        <f>_xll.RssFOPCode(A25,B25,IF(C25="C",1,IF(C25="P",2,"")),D25)</f>
        <v>マーケットスピード II にログインして「接続中」の状態に変更してから利用してください。</v>
      </c>
      <c r="F25" t="str">
        <f>_xll.RssFOPMarket($E25,F$1)</f>
        <v/>
      </c>
      <c r="G25" t="str">
        <f>_xll.RssFOPMarket($E25,G$1)</f>
        <v/>
      </c>
      <c r="H25" t="str">
        <f>_xll.RssFOPMarket($E25,H$1)</f>
        <v/>
      </c>
      <c r="I25" t="str">
        <f>_xll.RssFOPMarket($E25,I$1)</f>
        <v/>
      </c>
      <c r="J25" t="str">
        <f>_xll.RssFOPMarket($E25,J$1)</f>
        <v/>
      </c>
      <c r="K25" t="str">
        <f>_xll.RssFOPMarket($E25,K$1)</f>
        <v/>
      </c>
      <c r="L25" t="str">
        <f>_xll.RssFOPMarket($E25,L$1)</f>
        <v/>
      </c>
      <c r="M25" t="str">
        <f>_xll.RssFOPMarket($E25,M$1)</f>
        <v/>
      </c>
      <c r="N25" t="str">
        <f>_xll.RssFOPMarket($E25,N$1)</f>
        <v/>
      </c>
      <c r="O25" t="str">
        <f>_xll.RssFOPMarket($E25,O$1)</f>
        <v/>
      </c>
      <c r="P25" t="str">
        <f>_xll.RssFOPMarket($E25,P$1)</f>
        <v/>
      </c>
      <c r="Q25" t="str">
        <f>_xll.RssFOPMarket($E25,Q$1)</f>
        <v/>
      </c>
    </row>
    <row r="26" spans="1:17" x14ac:dyDescent="0.4">
      <c r="A26" t="str">
        <f t="shared" si="0"/>
        <v>N225MOP</v>
      </c>
      <c r="B26" t="str">
        <f t="shared" si="0"/>
        <v>202310#4</v>
      </c>
      <c r="C26" t="str">
        <f t="shared" si="0"/>
        <v>P</v>
      </c>
      <c r="D26">
        <f t="shared" si="1"/>
        <v>33500</v>
      </c>
      <c r="E26" t="str">
        <f>_xll.RssFOPCode(A26,B26,IF(C26="C",1,IF(C26="P",2,"")),D26)</f>
        <v>マーケットスピード II にログインして「接続中」の状態に変更してから利用してください。</v>
      </c>
      <c r="F26" t="str">
        <f>_xll.RssFOPMarket($E26,F$1)</f>
        <v/>
      </c>
      <c r="G26" t="str">
        <f>_xll.RssFOPMarket($E26,G$1)</f>
        <v/>
      </c>
      <c r="H26" t="str">
        <f>_xll.RssFOPMarket($E26,H$1)</f>
        <v/>
      </c>
      <c r="I26" t="str">
        <f>_xll.RssFOPMarket($E26,I$1)</f>
        <v/>
      </c>
      <c r="J26" t="str">
        <f>_xll.RssFOPMarket($E26,J$1)</f>
        <v/>
      </c>
      <c r="K26" t="str">
        <f>_xll.RssFOPMarket($E26,K$1)</f>
        <v/>
      </c>
      <c r="L26" t="str">
        <f>_xll.RssFOPMarket($E26,L$1)</f>
        <v/>
      </c>
      <c r="M26" t="str">
        <f>_xll.RssFOPMarket($E26,M$1)</f>
        <v/>
      </c>
      <c r="N26" t="str">
        <f>_xll.RssFOPMarket($E26,N$1)</f>
        <v/>
      </c>
      <c r="O26" t="str">
        <f>_xll.RssFOPMarket($E26,O$1)</f>
        <v/>
      </c>
      <c r="P26" t="str">
        <f>_xll.RssFOPMarket($E26,P$1)</f>
        <v/>
      </c>
      <c r="Q26" t="str">
        <f>_xll.RssFOPMarket($E26,Q$1)</f>
        <v/>
      </c>
    </row>
    <row r="27" spans="1:17" x14ac:dyDescent="0.4">
      <c r="A27" t="str">
        <f t="shared" si="0"/>
        <v>N225MOP</v>
      </c>
      <c r="B27" t="str">
        <f t="shared" si="0"/>
        <v>202310#4</v>
      </c>
      <c r="C27" t="str">
        <f t="shared" si="0"/>
        <v>P</v>
      </c>
      <c r="D27">
        <f t="shared" si="1"/>
        <v>33375</v>
      </c>
      <c r="E27" t="str">
        <f>_xll.RssFOPCode(A27,B27,IF(C27="C",1,IF(C27="P",2,"")),D27)</f>
        <v>マーケットスピード II にログインして「接続中」の状態に変更してから利用してください。</v>
      </c>
      <c r="F27" t="str">
        <f>_xll.RssFOPMarket($E27,F$1)</f>
        <v/>
      </c>
      <c r="G27" t="str">
        <f>_xll.RssFOPMarket($E27,G$1)</f>
        <v/>
      </c>
      <c r="H27" t="str">
        <f>_xll.RssFOPMarket($E27,H$1)</f>
        <v/>
      </c>
      <c r="I27" t="str">
        <f>_xll.RssFOPMarket($E27,I$1)</f>
        <v/>
      </c>
      <c r="J27" t="str">
        <f>_xll.RssFOPMarket($E27,J$1)</f>
        <v/>
      </c>
      <c r="K27" t="str">
        <f>_xll.RssFOPMarket($E27,K$1)</f>
        <v/>
      </c>
      <c r="L27" t="str">
        <f>_xll.RssFOPMarket($E27,L$1)</f>
        <v/>
      </c>
      <c r="M27" t="str">
        <f>_xll.RssFOPMarket($E27,M$1)</f>
        <v/>
      </c>
      <c r="N27" t="str">
        <f>_xll.RssFOPMarket($E27,N$1)</f>
        <v/>
      </c>
      <c r="O27" t="str">
        <f>_xll.RssFOPMarket($E27,O$1)</f>
        <v/>
      </c>
      <c r="P27" t="str">
        <f>_xll.RssFOPMarket($E27,P$1)</f>
        <v/>
      </c>
      <c r="Q27" t="str">
        <f>_xll.RssFOPMarket($E27,Q$1)</f>
        <v/>
      </c>
    </row>
    <row r="28" spans="1:17" x14ac:dyDescent="0.4">
      <c r="A28" t="str">
        <f t="shared" si="0"/>
        <v>N225MOP</v>
      </c>
      <c r="B28" t="str">
        <f t="shared" si="0"/>
        <v>202310#4</v>
      </c>
      <c r="C28" t="str">
        <f t="shared" si="0"/>
        <v>P</v>
      </c>
      <c r="D28">
        <f t="shared" si="1"/>
        <v>33250</v>
      </c>
      <c r="E28" t="str">
        <f>_xll.RssFOPCode(A28,B28,IF(C28="C",1,IF(C28="P",2,"")),D28)</f>
        <v>マーケットスピード II にログインして「接続中」の状態に変更してから利用してください。</v>
      </c>
      <c r="F28" t="str">
        <f>_xll.RssFOPMarket($E28,F$1)</f>
        <v/>
      </c>
      <c r="G28" t="str">
        <f>_xll.RssFOPMarket($E28,G$1)</f>
        <v/>
      </c>
      <c r="H28" t="str">
        <f>_xll.RssFOPMarket($E28,H$1)</f>
        <v/>
      </c>
      <c r="I28" t="str">
        <f>_xll.RssFOPMarket($E28,I$1)</f>
        <v/>
      </c>
      <c r="J28" t="str">
        <f>_xll.RssFOPMarket($E28,J$1)</f>
        <v/>
      </c>
      <c r="K28" t="str">
        <f>_xll.RssFOPMarket($E28,K$1)</f>
        <v/>
      </c>
      <c r="L28" t="str">
        <f>_xll.RssFOPMarket($E28,L$1)</f>
        <v/>
      </c>
      <c r="M28" t="str">
        <f>_xll.RssFOPMarket($E28,M$1)</f>
        <v/>
      </c>
      <c r="N28" t="str">
        <f>_xll.RssFOPMarket($E28,N$1)</f>
        <v/>
      </c>
      <c r="O28" t="str">
        <f>_xll.RssFOPMarket($E28,O$1)</f>
        <v/>
      </c>
      <c r="P28" t="str">
        <f>_xll.RssFOPMarket($E28,P$1)</f>
        <v/>
      </c>
      <c r="Q28" t="str">
        <f>_xll.RssFOPMarket($E28,Q$1)</f>
        <v/>
      </c>
    </row>
    <row r="29" spans="1:17" x14ac:dyDescent="0.4">
      <c r="A29" t="str">
        <f t="shared" si="0"/>
        <v>N225MOP</v>
      </c>
      <c r="B29" t="str">
        <f t="shared" si="0"/>
        <v>202310#4</v>
      </c>
      <c r="C29" t="str">
        <f t="shared" si="0"/>
        <v>P</v>
      </c>
      <c r="D29">
        <f t="shared" si="1"/>
        <v>33125</v>
      </c>
      <c r="E29" t="str">
        <f>_xll.RssFOPCode(A29,B29,IF(C29="C",1,IF(C29="P",2,"")),D29)</f>
        <v>マーケットスピード II にログインして「接続中」の状態に変更してから利用してください。</v>
      </c>
      <c r="F29" t="str">
        <f>_xll.RssFOPMarket($E29,F$1)</f>
        <v/>
      </c>
      <c r="G29" t="str">
        <f>_xll.RssFOPMarket($E29,G$1)</f>
        <v/>
      </c>
      <c r="H29" t="str">
        <f>_xll.RssFOPMarket($E29,H$1)</f>
        <v/>
      </c>
      <c r="I29" t="str">
        <f>_xll.RssFOPMarket($E29,I$1)</f>
        <v/>
      </c>
      <c r="J29" t="str">
        <f>_xll.RssFOPMarket($E29,J$1)</f>
        <v/>
      </c>
      <c r="K29" t="str">
        <f>_xll.RssFOPMarket($E29,K$1)</f>
        <v/>
      </c>
      <c r="L29" t="str">
        <f>_xll.RssFOPMarket($E29,L$1)</f>
        <v/>
      </c>
      <c r="M29" t="str">
        <f>_xll.RssFOPMarket($E29,M$1)</f>
        <v/>
      </c>
      <c r="N29" t="str">
        <f>_xll.RssFOPMarket($E29,N$1)</f>
        <v/>
      </c>
      <c r="O29" t="str">
        <f>_xll.RssFOPMarket($E29,O$1)</f>
        <v/>
      </c>
      <c r="P29" t="str">
        <f>_xll.RssFOPMarket($E29,P$1)</f>
        <v/>
      </c>
      <c r="Q29" t="str">
        <f>_xll.RssFOPMarket($E29,Q$1)</f>
        <v/>
      </c>
    </row>
    <row r="30" spans="1:17" x14ac:dyDescent="0.4">
      <c r="A30" t="str">
        <f t="shared" si="0"/>
        <v>N225MOP</v>
      </c>
      <c r="B30" t="str">
        <f t="shared" si="0"/>
        <v>202310#4</v>
      </c>
      <c r="C30" t="str">
        <f t="shared" si="0"/>
        <v>P</v>
      </c>
      <c r="D30">
        <f t="shared" si="1"/>
        <v>33000</v>
      </c>
      <c r="E30" t="str">
        <f>_xll.RssFOPCode(A30,B30,IF(C30="C",1,IF(C30="P",2,"")),D30)</f>
        <v>マーケットスピード II にログインして「接続中」の状態に変更してから利用してください。</v>
      </c>
      <c r="F30" t="str">
        <f>_xll.RssFOPMarket($E30,F$1)</f>
        <v/>
      </c>
      <c r="G30" t="str">
        <f>_xll.RssFOPMarket($E30,G$1)</f>
        <v/>
      </c>
      <c r="H30" t="str">
        <f>_xll.RssFOPMarket($E30,H$1)</f>
        <v/>
      </c>
      <c r="I30" t="str">
        <f>_xll.RssFOPMarket($E30,I$1)</f>
        <v/>
      </c>
      <c r="J30" t="str">
        <f>_xll.RssFOPMarket($E30,J$1)</f>
        <v/>
      </c>
      <c r="K30" t="str">
        <f>_xll.RssFOPMarket($E30,K$1)</f>
        <v/>
      </c>
      <c r="L30" t="str">
        <f>_xll.RssFOPMarket($E30,L$1)</f>
        <v/>
      </c>
      <c r="M30" t="str">
        <f>_xll.RssFOPMarket($E30,M$1)</f>
        <v/>
      </c>
      <c r="N30" t="str">
        <f>_xll.RssFOPMarket($E30,N$1)</f>
        <v/>
      </c>
      <c r="O30" t="str">
        <f>_xll.RssFOPMarket($E30,O$1)</f>
        <v/>
      </c>
      <c r="P30" t="str">
        <f>_xll.RssFOPMarket($E30,P$1)</f>
        <v/>
      </c>
      <c r="Q30" t="str">
        <f>_xll.RssFOPMarket($E30,Q$1)</f>
        <v/>
      </c>
    </row>
    <row r="31" spans="1:17" x14ac:dyDescent="0.4">
      <c r="A31" t="str">
        <f t="shared" si="0"/>
        <v>N225MOP</v>
      </c>
      <c r="B31" t="str">
        <f t="shared" si="0"/>
        <v>202310#4</v>
      </c>
      <c r="C31" t="str">
        <f t="shared" si="0"/>
        <v>P</v>
      </c>
      <c r="D31">
        <f t="shared" si="1"/>
        <v>32875</v>
      </c>
      <c r="E31" t="str">
        <f>_xll.RssFOPCode(A31,B31,IF(C31="C",1,IF(C31="P",2,"")),D31)</f>
        <v>マーケットスピード II にログインして「接続中」の状態に変更してから利用してください。</v>
      </c>
      <c r="F31" t="str">
        <f>_xll.RssFOPMarket($E31,F$1)</f>
        <v/>
      </c>
      <c r="G31" t="str">
        <f>_xll.RssFOPMarket($E31,G$1)</f>
        <v/>
      </c>
      <c r="H31" t="str">
        <f>_xll.RssFOPMarket($E31,H$1)</f>
        <v/>
      </c>
      <c r="I31" t="str">
        <f>_xll.RssFOPMarket($E31,I$1)</f>
        <v/>
      </c>
      <c r="J31" t="str">
        <f>_xll.RssFOPMarket($E31,J$1)</f>
        <v/>
      </c>
      <c r="K31" t="str">
        <f>_xll.RssFOPMarket($E31,K$1)</f>
        <v/>
      </c>
      <c r="L31" t="str">
        <f>_xll.RssFOPMarket($E31,L$1)</f>
        <v/>
      </c>
      <c r="M31" t="str">
        <f>_xll.RssFOPMarket($E31,M$1)</f>
        <v/>
      </c>
      <c r="N31" t="str">
        <f>_xll.RssFOPMarket($E31,N$1)</f>
        <v/>
      </c>
      <c r="O31" t="str">
        <f>_xll.RssFOPMarket($E31,O$1)</f>
        <v/>
      </c>
      <c r="P31" t="str">
        <f>_xll.RssFOPMarket($E31,P$1)</f>
        <v/>
      </c>
      <c r="Q31" t="str">
        <f>_xll.RssFOPMarket($E31,Q$1)</f>
        <v/>
      </c>
    </row>
    <row r="32" spans="1:17" x14ac:dyDescent="0.4">
      <c r="A32" t="str">
        <f t="shared" si="0"/>
        <v>N225MOP</v>
      </c>
      <c r="B32" t="str">
        <f t="shared" si="0"/>
        <v>202310#4</v>
      </c>
      <c r="C32" t="str">
        <f t="shared" si="0"/>
        <v>P</v>
      </c>
      <c r="D32">
        <f t="shared" si="1"/>
        <v>32750</v>
      </c>
      <c r="E32" t="str">
        <f>_xll.RssFOPCode(A32,B32,IF(C32="C",1,IF(C32="P",2,"")),D32)</f>
        <v>マーケットスピード II にログインして「接続中」の状態に変更してから利用してください。</v>
      </c>
      <c r="F32" t="str">
        <f>_xll.RssFOPMarket($E32,F$1)</f>
        <v/>
      </c>
      <c r="G32" t="str">
        <f>_xll.RssFOPMarket($E32,G$1)</f>
        <v/>
      </c>
      <c r="H32" t="str">
        <f>_xll.RssFOPMarket($E32,H$1)</f>
        <v/>
      </c>
      <c r="I32" t="str">
        <f>_xll.RssFOPMarket($E32,I$1)</f>
        <v/>
      </c>
      <c r="J32" t="str">
        <f>_xll.RssFOPMarket($E32,J$1)</f>
        <v/>
      </c>
      <c r="K32" t="str">
        <f>_xll.RssFOPMarket($E32,K$1)</f>
        <v/>
      </c>
      <c r="L32" t="str">
        <f>_xll.RssFOPMarket($E32,L$1)</f>
        <v/>
      </c>
      <c r="M32" t="str">
        <f>_xll.RssFOPMarket($E32,M$1)</f>
        <v/>
      </c>
      <c r="N32" t="str">
        <f>_xll.RssFOPMarket($E32,N$1)</f>
        <v/>
      </c>
      <c r="O32" t="str">
        <f>_xll.RssFOPMarket($E32,O$1)</f>
        <v/>
      </c>
      <c r="P32" t="str">
        <f>_xll.RssFOPMarket($E32,P$1)</f>
        <v/>
      </c>
      <c r="Q32" t="str">
        <f>_xll.RssFOPMarket($E32,Q$1)</f>
        <v/>
      </c>
    </row>
    <row r="33" spans="1:17" x14ac:dyDescent="0.4">
      <c r="A33" t="str">
        <f t="shared" si="0"/>
        <v>N225MOP</v>
      </c>
      <c r="B33" t="str">
        <f t="shared" si="0"/>
        <v>202310#4</v>
      </c>
      <c r="C33" t="str">
        <f t="shared" si="0"/>
        <v>P</v>
      </c>
      <c r="D33">
        <f t="shared" si="1"/>
        <v>32625</v>
      </c>
      <c r="E33" t="str">
        <f>_xll.RssFOPCode(A33,B33,IF(C33="C",1,IF(C33="P",2,"")),D33)</f>
        <v>マーケットスピード II にログインして「接続中」の状態に変更してから利用してください。</v>
      </c>
      <c r="F33" t="str">
        <f>_xll.RssFOPMarket($E33,F$1)</f>
        <v/>
      </c>
      <c r="G33" t="str">
        <f>_xll.RssFOPMarket($E33,G$1)</f>
        <v/>
      </c>
      <c r="H33" t="str">
        <f>_xll.RssFOPMarket($E33,H$1)</f>
        <v/>
      </c>
      <c r="I33" t="str">
        <f>_xll.RssFOPMarket($E33,I$1)</f>
        <v/>
      </c>
      <c r="J33" t="str">
        <f>_xll.RssFOPMarket($E33,J$1)</f>
        <v/>
      </c>
      <c r="K33" t="str">
        <f>_xll.RssFOPMarket($E33,K$1)</f>
        <v/>
      </c>
      <c r="L33" t="str">
        <f>_xll.RssFOPMarket($E33,L$1)</f>
        <v/>
      </c>
      <c r="M33" t="str">
        <f>_xll.RssFOPMarket($E33,M$1)</f>
        <v/>
      </c>
      <c r="N33" t="str">
        <f>_xll.RssFOPMarket($E33,N$1)</f>
        <v/>
      </c>
      <c r="O33" t="str">
        <f>_xll.RssFOPMarket($E33,O$1)</f>
        <v/>
      </c>
      <c r="P33" t="str">
        <f>_xll.RssFOPMarket($E33,P$1)</f>
        <v/>
      </c>
      <c r="Q33" t="str">
        <f>_xll.RssFOPMarket($E33,Q$1)</f>
        <v/>
      </c>
    </row>
    <row r="34" spans="1:17" x14ac:dyDescent="0.4">
      <c r="A34" t="str">
        <f t="shared" si="0"/>
        <v>N225MOP</v>
      </c>
      <c r="B34" t="str">
        <f t="shared" si="0"/>
        <v>202310#4</v>
      </c>
      <c r="C34" t="str">
        <f t="shared" si="0"/>
        <v>P</v>
      </c>
      <c r="D34">
        <f t="shared" si="1"/>
        <v>32500</v>
      </c>
      <c r="E34" t="str">
        <f>_xll.RssFOPCode(A34,B34,IF(C34="C",1,IF(C34="P",2,"")),D34)</f>
        <v>マーケットスピード II にログインして「接続中」の状態に変更してから利用してください。</v>
      </c>
      <c r="F34" t="str">
        <f>_xll.RssFOPMarket($E34,F$1)</f>
        <v/>
      </c>
      <c r="G34" t="str">
        <f>_xll.RssFOPMarket($E34,G$1)</f>
        <v/>
      </c>
      <c r="H34" t="str">
        <f>_xll.RssFOPMarket($E34,H$1)</f>
        <v/>
      </c>
      <c r="I34" t="str">
        <f>_xll.RssFOPMarket($E34,I$1)</f>
        <v/>
      </c>
      <c r="J34" t="str">
        <f>_xll.RssFOPMarket($E34,J$1)</f>
        <v/>
      </c>
      <c r="K34" t="str">
        <f>_xll.RssFOPMarket($E34,K$1)</f>
        <v/>
      </c>
      <c r="L34" t="str">
        <f>_xll.RssFOPMarket($E34,L$1)</f>
        <v/>
      </c>
      <c r="M34" t="str">
        <f>_xll.RssFOPMarket($E34,M$1)</f>
        <v/>
      </c>
      <c r="N34" t="str">
        <f>_xll.RssFOPMarket($E34,N$1)</f>
        <v/>
      </c>
      <c r="O34" t="str">
        <f>_xll.RssFOPMarket($E34,O$1)</f>
        <v/>
      </c>
      <c r="P34" t="str">
        <f>_xll.RssFOPMarket($E34,P$1)</f>
        <v/>
      </c>
      <c r="Q34" t="str">
        <f>_xll.RssFOPMarket($E34,Q$1)</f>
        <v/>
      </c>
    </row>
    <row r="35" spans="1:17" x14ac:dyDescent="0.4">
      <c r="A35" t="str">
        <f t="shared" si="0"/>
        <v>N225MOP</v>
      </c>
      <c r="B35" t="str">
        <f t="shared" si="0"/>
        <v>202310#4</v>
      </c>
      <c r="C35" t="str">
        <f t="shared" si="0"/>
        <v>P</v>
      </c>
      <c r="D35">
        <f t="shared" si="1"/>
        <v>32375</v>
      </c>
      <c r="E35" t="str">
        <f>_xll.RssFOPCode(A35,B35,IF(C35="C",1,IF(C35="P",2,"")),D35)</f>
        <v>マーケットスピード II にログインして「接続中」の状態に変更してから利用してください。</v>
      </c>
      <c r="F35" t="str">
        <f>_xll.RssFOPMarket($E35,F$1)</f>
        <v/>
      </c>
      <c r="G35" t="str">
        <f>_xll.RssFOPMarket($E35,G$1)</f>
        <v/>
      </c>
      <c r="H35" t="str">
        <f>_xll.RssFOPMarket($E35,H$1)</f>
        <v/>
      </c>
      <c r="I35" t="str">
        <f>_xll.RssFOPMarket($E35,I$1)</f>
        <v/>
      </c>
      <c r="J35" t="str">
        <f>_xll.RssFOPMarket($E35,J$1)</f>
        <v/>
      </c>
      <c r="K35" t="str">
        <f>_xll.RssFOPMarket($E35,K$1)</f>
        <v/>
      </c>
      <c r="L35" t="str">
        <f>_xll.RssFOPMarket($E35,L$1)</f>
        <v/>
      </c>
      <c r="M35" t="str">
        <f>_xll.RssFOPMarket($E35,M$1)</f>
        <v/>
      </c>
      <c r="N35" t="str">
        <f>_xll.RssFOPMarket($E35,N$1)</f>
        <v/>
      </c>
      <c r="O35" t="str">
        <f>_xll.RssFOPMarket($E35,O$1)</f>
        <v/>
      </c>
      <c r="P35" t="str">
        <f>_xll.RssFOPMarket($E35,P$1)</f>
        <v/>
      </c>
      <c r="Q35" t="str">
        <f>_xll.RssFOPMarket($E35,Q$1)</f>
        <v/>
      </c>
    </row>
    <row r="36" spans="1:17" x14ac:dyDescent="0.4">
      <c r="A36" t="str">
        <f t="shared" si="0"/>
        <v>N225MOP</v>
      </c>
      <c r="B36" t="str">
        <f t="shared" si="0"/>
        <v>202310#4</v>
      </c>
      <c r="C36" t="str">
        <f t="shared" si="0"/>
        <v>P</v>
      </c>
      <c r="D36">
        <f t="shared" si="1"/>
        <v>32250</v>
      </c>
      <c r="E36" t="str">
        <f>_xll.RssFOPCode(A36,B36,IF(C36="C",1,IF(C36="P",2,"")),D36)</f>
        <v>マーケットスピード II にログインして「接続中」の状態に変更してから利用してください。</v>
      </c>
      <c r="F36" t="str">
        <f>_xll.RssFOPMarket($E36,F$1)</f>
        <v/>
      </c>
      <c r="G36" t="str">
        <f>_xll.RssFOPMarket($E36,G$1)</f>
        <v/>
      </c>
      <c r="H36" t="str">
        <f>_xll.RssFOPMarket($E36,H$1)</f>
        <v/>
      </c>
      <c r="I36" t="str">
        <f>_xll.RssFOPMarket($E36,I$1)</f>
        <v/>
      </c>
      <c r="J36" t="str">
        <f>_xll.RssFOPMarket($E36,J$1)</f>
        <v/>
      </c>
      <c r="K36" t="str">
        <f>_xll.RssFOPMarket($E36,K$1)</f>
        <v/>
      </c>
      <c r="L36" t="str">
        <f>_xll.RssFOPMarket($E36,L$1)</f>
        <v/>
      </c>
      <c r="M36" t="str">
        <f>_xll.RssFOPMarket($E36,M$1)</f>
        <v/>
      </c>
      <c r="N36" t="str">
        <f>_xll.RssFOPMarket($E36,N$1)</f>
        <v/>
      </c>
      <c r="O36" t="str">
        <f>_xll.RssFOPMarket($E36,O$1)</f>
        <v/>
      </c>
      <c r="P36" t="str">
        <f>_xll.RssFOPMarket($E36,P$1)</f>
        <v/>
      </c>
      <c r="Q36" t="str">
        <f>_xll.RssFOPMarket($E36,Q$1)</f>
        <v/>
      </c>
    </row>
    <row r="37" spans="1:17" x14ac:dyDescent="0.4">
      <c r="A37" t="str">
        <f t="shared" si="0"/>
        <v>N225MOP</v>
      </c>
      <c r="B37" t="str">
        <f t="shared" si="0"/>
        <v>202310#4</v>
      </c>
      <c r="C37" t="str">
        <f t="shared" si="0"/>
        <v>P</v>
      </c>
      <c r="D37">
        <f t="shared" si="1"/>
        <v>32125</v>
      </c>
      <c r="E37" t="str">
        <f>_xll.RssFOPCode(A37,B37,IF(C37="C",1,IF(C37="P",2,"")),D37)</f>
        <v>マーケットスピード II にログインして「接続中」の状態に変更してから利用してください。</v>
      </c>
      <c r="F37" t="str">
        <f>_xll.RssFOPMarket($E37,F$1)</f>
        <v/>
      </c>
      <c r="G37" t="str">
        <f>_xll.RssFOPMarket($E37,G$1)</f>
        <v/>
      </c>
      <c r="H37" t="str">
        <f>_xll.RssFOPMarket($E37,H$1)</f>
        <v/>
      </c>
      <c r="I37" t="str">
        <f>_xll.RssFOPMarket($E37,I$1)</f>
        <v/>
      </c>
      <c r="J37" t="str">
        <f>_xll.RssFOPMarket($E37,J$1)</f>
        <v/>
      </c>
      <c r="K37" t="str">
        <f>_xll.RssFOPMarket($E37,K$1)</f>
        <v/>
      </c>
      <c r="L37" t="str">
        <f>_xll.RssFOPMarket($E37,L$1)</f>
        <v/>
      </c>
      <c r="M37" t="str">
        <f>_xll.RssFOPMarket($E37,M$1)</f>
        <v/>
      </c>
      <c r="N37" t="str">
        <f>_xll.RssFOPMarket($E37,N$1)</f>
        <v/>
      </c>
      <c r="O37" t="str">
        <f>_xll.RssFOPMarket($E37,O$1)</f>
        <v/>
      </c>
      <c r="P37" t="str">
        <f>_xll.RssFOPMarket($E37,P$1)</f>
        <v/>
      </c>
      <c r="Q37" t="str">
        <f>_xll.RssFOPMarket($E37,Q$1)</f>
        <v/>
      </c>
    </row>
    <row r="38" spans="1:17" x14ac:dyDescent="0.4">
      <c r="A38" t="str">
        <f t="shared" si="0"/>
        <v>N225MOP</v>
      </c>
      <c r="B38" t="str">
        <f t="shared" si="0"/>
        <v>202310#4</v>
      </c>
      <c r="C38" t="s">
        <v>15</v>
      </c>
      <c r="D38">
        <f t="shared" si="1"/>
        <v>32000</v>
      </c>
      <c r="E38" t="str">
        <f>_xll.RssFOPCode(A38,B38,IF(C38="C",1,IF(C38="P",2,"")),D38)</f>
        <v>マーケットスピード II にログインして「接続中」の状態に変更してから利用してください。</v>
      </c>
      <c r="F38" t="str">
        <f>_xll.RssFOPMarket($E38,F$1)</f>
        <v/>
      </c>
      <c r="G38" t="str">
        <f>_xll.RssFOPMarket($E38,G$1)</f>
        <v/>
      </c>
      <c r="H38" t="str">
        <f>_xll.RssFOPMarket($E38,H$1)</f>
        <v/>
      </c>
      <c r="I38" t="str">
        <f>_xll.RssFOPMarket($E38,I$1)</f>
        <v/>
      </c>
      <c r="J38" t="str">
        <f>_xll.RssFOPMarket($E38,J$1)</f>
        <v/>
      </c>
      <c r="K38" t="str">
        <f>_xll.RssFOPMarket($E38,K$1)</f>
        <v/>
      </c>
      <c r="L38" t="str">
        <f>_xll.RssFOPMarket($E38,L$1)</f>
        <v/>
      </c>
      <c r="M38" t="str">
        <f>_xll.RssFOPMarket($E38,M$1)</f>
        <v/>
      </c>
      <c r="N38" t="str">
        <f>_xll.RssFOPMarket($E38,N$1)</f>
        <v/>
      </c>
      <c r="O38" t="str">
        <f>_xll.RssFOPMarket($E38,O$1)</f>
        <v/>
      </c>
      <c r="P38" t="str">
        <f>_xll.RssFOPMarket($E38,P$1)</f>
        <v/>
      </c>
      <c r="Q38" t="str">
        <f>_xll.RssFOPMarket($E38,Q$1)</f>
        <v/>
      </c>
    </row>
    <row r="39" spans="1:17" x14ac:dyDescent="0.4">
      <c r="A39" t="str">
        <f t="shared" si="0"/>
        <v>N225MOP</v>
      </c>
      <c r="B39" t="str">
        <f t="shared" si="0"/>
        <v>202310#4</v>
      </c>
      <c r="C39" t="str">
        <f t="shared" si="0"/>
        <v>C</v>
      </c>
      <c r="D39">
        <f t="shared" si="1"/>
        <v>31875</v>
      </c>
      <c r="E39" t="str">
        <f>_xll.RssFOPCode(A39,B39,IF(C39="C",1,IF(C39="P",2,"")),D39)</f>
        <v>マーケットスピード II にログインして「接続中」の状態に変更してから利用してください。</v>
      </c>
      <c r="F39" t="str">
        <f>_xll.RssFOPMarket($E39,F$1)</f>
        <v/>
      </c>
      <c r="G39" t="str">
        <f>_xll.RssFOPMarket($E39,G$1)</f>
        <v/>
      </c>
      <c r="H39" t="str">
        <f>_xll.RssFOPMarket($E39,H$1)</f>
        <v/>
      </c>
      <c r="I39" t="str">
        <f>_xll.RssFOPMarket($E39,I$1)</f>
        <v/>
      </c>
      <c r="J39" t="str">
        <f>_xll.RssFOPMarket($E39,J$1)</f>
        <v/>
      </c>
      <c r="K39" t="str">
        <f>_xll.RssFOPMarket($E39,K$1)</f>
        <v/>
      </c>
      <c r="L39" t="str">
        <f>_xll.RssFOPMarket($E39,L$1)</f>
        <v/>
      </c>
      <c r="M39" t="str">
        <f>_xll.RssFOPMarket($E39,M$1)</f>
        <v/>
      </c>
      <c r="N39" t="str">
        <f>_xll.RssFOPMarket($E39,N$1)</f>
        <v/>
      </c>
      <c r="O39" t="str">
        <f>_xll.RssFOPMarket($E39,O$1)</f>
        <v/>
      </c>
      <c r="P39" t="str">
        <f>_xll.RssFOPMarket($E39,P$1)</f>
        <v/>
      </c>
      <c r="Q39" t="str">
        <f>_xll.RssFOPMarket($E39,Q$1)</f>
        <v/>
      </c>
    </row>
    <row r="40" spans="1:17" x14ac:dyDescent="0.4">
      <c r="A40" t="str">
        <f t="shared" si="0"/>
        <v>N225MOP</v>
      </c>
      <c r="B40" t="str">
        <f t="shared" si="0"/>
        <v>202310#4</v>
      </c>
      <c r="C40" t="str">
        <f t="shared" si="0"/>
        <v>C</v>
      </c>
      <c r="D40">
        <f t="shared" si="1"/>
        <v>31750</v>
      </c>
      <c r="E40" t="str">
        <f>_xll.RssFOPCode(A40,B40,IF(C40="C",1,IF(C40="P",2,"")),D40)</f>
        <v>マーケットスピード II にログインして「接続中」の状態に変更してから利用してください。</v>
      </c>
      <c r="F40" t="str">
        <f>_xll.RssFOPMarket($E40,F$1)</f>
        <v/>
      </c>
      <c r="G40" t="str">
        <f>_xll.RssFOPMarket($E40,G$1)</f>
        <v/>
      </c>
      <c r="H40" t="str">
        <f>_xll.RssFOPMarket($E40,H$1)</f>
        <v/>
      </c>
      <c r="I40" t="str">
        <f>_xll.RssFOPMarket($E40,I$1)</f>
        <v/>
      </c>
      <c r="J40" t="str">
        <f>_xll.RssFOPMarket($E40,J$1)</f>
        <v/>
      </c>
      <c r="K40" t="str">
        <f>_xll.RssFOPMarket($E40,K$1)</f>
        <v/>
      </c>
      <c r="L40" t="str">
        <f>_xll.RssFOPMarket($E40,L$1)</f>
        <v/>
      </c>
      <c r="M40" t="str">
        <f>_xll.RssFOPMarket($E40,M$1)</f>
        <v/>
      </c>
      <c r="N40" t="str">
        <f>_xll.RssFOPMarket($E40,N$1)</f>
        <v/>
      </c>
      <c r="O40" t="str">
        <f>_xll.RssFOPMarket($E40,O$1)</f>
        <v/>
      </c>
      <c r="P40" t="str">
        <f>_xll.RssFOPMarket($E40,P$1)</f>
        <v/>
      </c>
      <c r="Q40" t="str">
        <f>_xll.RssFOPMarket($E40,Q$1)</f>
        <v/>
      </c>
    </row>
    <row r="41" spans="1:17" x14ac:dyDescent="0.4">
      <c r="A41" t="str">
        <f t="shared" si="0"/>
        <v>N225MOP</v>
      </c>
      <c r="B41" t="str">
        <f t="shared" si="0"/>
        <v>202310#4</v>
      </c>
      <c r="C41" t="str">
        <f t="shared" si="0"/>
        <v>C</v>
      </c>
      <c r="D41">
        <f t="shared" si="1"/>
        <v>31625</v>
      </c>
      <c r="E41" t="str">
        <f>_xll.RssFOPCode(A41,B41,IF(C41="C",1,IF(C41="P",2,"")),D41)</f>
        <v>マーケットスピード II にログインして「接続中」の状態に変更してから利用してください。</v>
      </c>
      <c r="F41" t="str">
        <f>_xll.RssFOPMarket($E41,F$1)</f>
        <v/>
      </c>
      <c r="G41" t="str">
        <f>_xll.RssFOPMarket($E41,G$1)</f>
        <v/>
      </c>
      <c r="H41" t="str">
        <f>_xll.RssFOPMarket($E41,H$1)</f>
        <v/>
      </c>
      <c r="I41" t="str">
        <f>_xll.RssFOPMarket($E41,I$1)</f>
        <v/>
      </c>
      <c r="J41" t="str">
        <f>_xll.RssFOPMarket($E41,J$1)</f>
        <v/>
      </c>
      <c r="K41" t="str">
        <f>_xll.RssFOPMarket($E41,K$1)</f>
        <v/>
      </c>
      <c r="L41" t="str">
        <f>_xll.RssFOPMarket($E41,L$1)</f>
        <v/>
      </c>
      <c r="M41" t="str">
        <f>_xll.RssFOPMarket($E41,M$1)</f>
        <v/>
      </c>
      <c r="N41" t="str">
        <f>_xll.RssFOPMarket($E41,N$1)</f>
        <v/>
      </c>
      <c r="O41" t="str">
        <f>_xll.RssFOPMarket($E41,O$1)</f>
        <v/>
      </c>
      <c r="P41" t="str">
        <f>_xll.RssFOPMarket($E41,P$1)</f>
        <v/>
      </c>
      <c r="Q41" t="str">
        <f>_xll.RssFOPMarket($E41,Q$1)</f>
        <v/>
      </c>
    </row>
    <row r="42" spans="1:17" x14ac:dyDescent="0.4">
      <c r="A42" t="str">
        <f t="shared" si="0"/>
        <v>N225MOP</v>
      </c>
      <c r="B42" t="str">
        <f t="shared" si="0"/>
        <v>202310#4</v>
      </c>
      <c r="C42" t="str">
        <f t="shared" si="0"/>
        <v>C</v>
      </c>
      <c r="D42">
        <f t="shared" si="1"/>
        <v>31500</v>
      </c>
      <c r="E42" t="str">
        <f>_xll.RssFOPCode(A42,B42,IF(C42="C",1,IF(C42="P",2,"")),D42)</f>
        <v>マーケットスピード II にログインして「接続中」の状態に変更してから利用してください。</v>
      </c>
      <c r="F42" t="str">
        <f>_xll.RssFOPMarket($E42,F$1)</f>
        <v/>
      </c>
      <c r="G42" t="str">
        <f>_xll.RssFOPMarket($E42,G$1)</f>
        <v/>
      </c>
      <c r="H42" t="str">
        <f>_xll.RssFOPMarket($E42,H$1)</f>
        <v/>
      </c>
      <c r="I42" t="str">
        <f>_xll.RssFOPMarket($E42,I$1)</f>
        <v/>
      </c>
      <c r="J42" t="str">
        <f>_xll.RssFOPMarket($E42,J$1)</f>
        <v/>
      </c>
      <c r="K42" t="str">
        <f>_xll.RssFOPMarket($E42,K$1)</f>
        <v/>
      </c>
      <c r="L42" t="str">
        <f>_xll.RssFOPMarket($E42,L$1)</f>
        <v/>
      </c>
      <c r="M42" t="str">
        <f>_xll.RssFOPMarket($E42,M$1)</f>
        <v/>
      </c>
      <c r="N42" t="str">
        <f>_xll.RssFOPMarket($E42,N$1)</f>
        <v/>
      </c>
      <c r="O42" t="str">
        <f>_xll.RssFOPMarket($E42,O$1)</f>
        <v/>
      </c>
      <c r="P42" t="str">
        <f>_xll.RssFOPMarket($E42,P$1)</f>
        <v/>
      </c>
      <c r="Q42" t="str">
        <f>_xll.RssFOPMarket($E42,Q$1)</f>
        <v/>
      </c>
    </row>
    <row r="43" spans="1:17" x14ac:dyDescent="0.4">
      <c r="A43" t="str">
        <f t="shared" si="0"/>
        <v>N225MOP</v>
      </c>
      <c r="B43" t="str">
        <f t="shared" si="0"/>
        <v>202310#4</v>
      </c>
      <c r="C43" t="str">
        <f t="shared" si="0"/>
        <v>C</v>
      </c>
      <c r="D43">
        <f t="shared" si="1"/>
        <v>31375</v>
      </c>
      <c r="E43" t="str">
        <f>_xll.RssFOPCode(A43,B43,IF(C43="C",1,IF(C43="P",2,"")),D43)</f>
        <v>マーケットスピード II にログインして「接続中」の状態に変更してから利用してください。</v>
      </c>
      <c r="F43" t="str">
        <f>_xll.RssFOPMarket($E43,F$1)</f>
        <v/>
      </c>
      <c r="G43" t="str">
        <f>_xll.RssFOPMarket($E43,G$1)</f>
        <v/>
      </c>
      <c r="H43" t="str">
        <f>_xll.RssFOPMarket($E43,H$1)</f>
        <v/>
      </c>
      <c r="I43" t="str">
        <f>_xll.RssFOPMarket($E43,I$1)</f>
        <v/>
      </c>
      <c r="J43" t="str">
        <f>_xll.RssFOPMarket($E43,J$1)</f>
        <v/>
      </c>
      <c r="K43" t="str">
        <f>_xll.RssFOPMarket($E43,K$1)</f>
        <v/>
      </c>
      <c r="L43" t="str">
        <f>_xll.RssFOPMarket($E43,L$1)</f>
        <v/>
      </c>
      <c r="M43" t="str">
        <f>_xll.RssFOPMarket($E43,M$1)</f>
        <v/>
      </c>
      <c r="N43" t="str">
        <f>_xll.RssFOPMarket($E43,N$1)</f>
        <v/>
      </c>
      <c r="O43" t="str">
        <f>_xll.RssFOPMarket($E43,O$1)</f>
        <v/>
      </c>
      <c r="P43" t="str">
        <f>_xll.RssFOPMarket($E43,P$1)</f>
        <v/>
      </c>
      <c r="Q43" t="str">
        <f>_xll.RssFOPMarket($E43,Q$1)</f>
        <v/>
      </c>
    </row>
    <row r="44" spans="1:17" x14ac:dyDescent="0.4">
      <c r="A44" t="str">
        <f t="shared" si="0"/>
        <v>N225MOP</v>
      </c>
      <c r="B44" t="str">
        <f t="shared" si="0"/>
        <v>202310#4</v>
      </c>
      <c r="C44" t="str">
        <f t="shared" si="0"/>
        <v>C</v>
      </c>
      <c r="D44">
        <f t="shared" si="1"/>
        <v>31250</v>
      </c>
      <c r="E44" t="str">
        <f>_xll.RssFOPCode(A44,B44,IF(C44="C",1,IF(C44="P",2,"")),D44)</f>
        <v>マーケットスピード II にログインして「接続中」の状態に変更してから利用してください。</v>
      </c>
      <c r="F44" t="str">
        <f>_xll.RssFOPMarket($E44,F$1)</f>
        <v/>
      </c>
      <c r="G44" t="str">
        <f>_xll.RssFOPMarket($E44,G$1)</f>
        <v/>
      </c>
      <c r="H44" t="str">
        <f>_xll.RssFOPMarket($E44,H$1)</f>
        <v/>
      </c>
      <c r="I44" t="str">
        <f>_xll.RssFOPMarket($E44,I$1)</f>
        <v/>
      </c>
      <c r="J44" t="str">
        <f>_xll.RssFOPMarket($E44,J$1)</f>
        <v/>
      </c>
      <c r="K44" t="str">
        <f>_xll.RssFOPMarket($E44,K$1)</f>
        <v/>
      </c>
      <c r="L44" t="str">
        <f>_xll.RssFOPMarket($E44,L$1)</f>
        <v/>
      </c>
      <c r="M44" t="str">
        <f>_xll.RssFOPMarket($E44,M$1)</f>
        <v/>
      </c>
      <c r="N44" t="str">
        <f>_xll.RssFOPMarket($E44,N$1)</f>
        <v/>
      </c>
      <c r="O44" t="str">
        <f>_xll.RssFOPMarket($E44,O$1)</f>
        <v/>
      </c>
      <c r="P44" t="str">
        <f>_xll.RssFOPMarket($E44,P$1)</f>
        <v/>
      </c>
      <c r="Q44" t="str">
        <f>_xll.RssFOPMarket($E44,Q$1)</f>
        <v/>
      </c>
    </row>
    <row r="45" spans="1:17" x14ac:dyDescent="0.4">
      <c r="A45" t="str">
        <f t="shared" si="0"/>
        <v>N225MOP</v>
      </c>
      <c r="B45" t="str">
        <f t="shared" si="0"/>
        <v>202310#4</v>
      </c>
      <c r="C45" t="str">
        <f t="shared" si="0"/>
        <v>C</v>
      </c>
      <c r="D45">
        <f t="shared" si="1"/>
        <v>31125</v>
      </c>
      <c r="E45" t="str">
        <f>_xll.RssFOPCode(A45,B45,IF(C45="C",1,IF(C45="P",2,"")),D45)</f>
        <v>マーケットスピード II にログインして「接続中」の状態に変更してから利用してください。</v>
      </c>
      <c r="F45" t="str">
        <f>_xll.RssFOPMarket($E45,F$1)</f>
        <v/>
      </c>
      <c r="G45" t="str">
        <f>_xll.RssFOPMarket($E45,G$1)</f>
        <v/>
      </c>
      <c r="H45" t="str">
        <f>_xll.RssFOPMarket($E45,H$1)</f>
        <v/>
      </c>
      <c r="I45" t="str">
        <f>_xll.RssFOPMarket($E45,I$1)</f>
        <v/>
      </c>
      <c r="J45" t="str">
        <f>_xll.RssFOPMarket($E45,J$1)</f>
        <v/>
      </c>
      <c r="K45" t="str">
        <f>_xll.RssFOPMarket($E45,K$1)</f>
        <v/>
      </c>
      <c r="L45" t="str">
        <f>_xll.RssFOPMarket($E45,L$1)</f>
        <v/>
      </c>
      <c r="M45" t="str">
        <f>_xll.RssFOPMarket($E45,M$1)</f>
        <v/>
      </c>
      <c r="N45" t="str">
        <f>_xll.RssFOPMarket($E45,N$1)</f>
        <v/>
      </c>
      <c r="O45" t="str">
        <f>_xll.RssFOPMarket($E45,O$1)</f>
        <v/>
      </c>
      <c r="P45" t="str">
        <f>_xll.RssFOPMarket($E45,P$1)</f>
        <v/>
      </c>
      <c r="Q45" t="str">
        <f>_xll.RssFOPMarket($E45,Q$1)</f>
        <v/>
      </c>
    </row>
    <row r="46" spans="1:17" x14ac:dyDescent="0.4">
      <c r="A46" t="str">
        <f t="shared" si="0"/>
        <v>N225MOP</v>
      </c>
      <c r="B46" t="str">
        <f t="shared" si="0"/>
        <v>202310#4</v>
      </c>
      <c r="C46" t="str">
        <f t="shared" si="0"/>
        <v>C</v>
      </c>
      <c r="D46">
        <f t="shared" si="1"/>
        <v>31000</v>
      </c>
      <c r="E46" t="str">
        <f>_xll.RssFOPCode(A46,B46,IF(C46="C",1,IF(C46="P",2,"")),D46)</f>
        <v>マーケットスピード II にログインして「接続中」の状態に変更してから利用してください。</v>
      </c>
      <c r="F46" t="str">
        <f>_xll.RssFOPMarket($E46,F$1)</f>
        <v/>
      </c>
      <c r="G46" t="str">
        <f>_xll.RssFOPMarket($E46,G$1)</f>
        <v/>
      </c>
      <c r="H46" t="str">
        <f>_xll.RssFOPMarket($E46,H$1)</f>
        <v/>
      </c>
      <c r="I46" t="str">
        <f>_xll.RssFOPMarket($E46,I$1)</f>
        <v/>
      </c>
      <c r="J46" t="str">
        <f>_xll.RssFOPMarket($E46,J$1)</f>
        <v/>
      </c>
      <c r="K46" t="str">
        <f>_xll.RssFOPMarket($E46,K$1)</f>
        <v/>
      </c>
      <c r="L46" t="str">
        <f>_xll.RssFOPMarket($E46,L$1)</f>
        <v/>
      </c>
      <c r="M46" t="str">
        <f>_xll.RssFOPMarket($E46,M$1)</f>
        <v/>
      </c>
      <c r="N46" t="str">
        <f>_xll.RssFOPMarket($E46,N$1)</f>
        <v/>
      </c>
      <c r="O46" t="str">
        <f>_xll.RssFOPMarket($E46,O$1)</f>
        <v/>
      </c>
      <c r="P46" t="str">
        <f>_xll.RssFOPMarket($E46,P$1)</f>
        <v/>
      </c>
      <c r="Q46" t="str">
        <f>_xll.RssFOPMarket($E46,Q$1)</f>
        <v/>
      </c>
    </row>
    <row r="47" spans="1:17" x14ac:dyDescent="0.4">
      <c r="A47" t="str">
        <f t="shared" si="0"/>
        <v>N225MOP</v>
      </c>
      <c r="B47" t="str">
        <f t="shared" si="0"/>
        <v>202310#4</v>
      </c>
      <c r="C47" t="str">
        <f t="shared" si="0"/>
        <v>C</v>
      </c>
      <c r="D47">
        <f t="shared" si="1"/>
        <v>30875</v>
      </c>
      <c r="E47" t="str">
        <f>_xll.RssFOPCode(A47,B47,IF(C47="C",1,IF(C47="P",2,"")),D47)</f>
        <v>マーケットスピード II にログインして「接続中」の状態に変更してから利用してください。</v>
      </c>
      <c r="F47" t="str">
        <f>_xll.RssFOPMarket($E47,F$1)</f>
        <v/>
      </c>
      <c r="G47" t="str">
        <f>_xll.RssFOPMarket($E47,G$1)</f>
        <v/>
      </c>
      <c r="H47" t="str">
        <f>_xll.RssFOPMarket($E47,H$1)</f>
        <v/>
      </c>
      <c r="I47" t="str">
        <f>_xll.RssFOPMarket($E47,I$1)</f>
        <v/>
      </c>
      <c r="J47" t="str">
        <f>_xll.RssFOPMarket($E47,J$1)</f>
        <v/>
      </c>
      <c r="K47" t="str">
        <f>_xll.RssFOPMarket($E47,K$1)</f>
        <v/>
      </c>
      <c r="L47" t="str">
        <f>_xll.RssFOPMarket($E47,L$1)</f>
        <v/>
      </c>
      <c r="M47" t="str">
        <f>_xll.RssFOPMarket($E47,M$1)</f>
        <v/>
      </c>
      <c r="N47" t="str">
        <f>_xll.RssFOPMarket($E47,N$1)</f>
        <v/>
      </c>
      <c r="O47" t="str">
        <f>_xll.RssFOPMarket($E47,O$1)</f>
        <v/>
      </c>
      <c r="P47" t="str">
        <f>_xll.RssFOPMarket($E47,P$1)</f>
        <v/>
      </c>
      <c r="Q47" t="str">
        <f>_xll.RssFOPMarket($E47,Q$1)</f>
        <v/>
      </c>
    </row>
    <row r="48" spans="1:17" x14ac:dyDescent="0.4">
      <c r="A48" t="str">
        <f t="shared" si="0"/>
        <v>N225MOP</v>
      </c>
      <c r="B48" t="str">
        <f t="shared" si="0"/>
        <v>202310#4</v>
      </c>
      <c r="C48" t="str">
        <f t="shared" si="0"/>
        <v>C</v>
      </c>
      <c r="D48">
        <f t="shared" si="1"/>
        <v>30750</v>
      </c>
      <c r="E48" t="str">
        <f>_xll.RssFOPCode(A48,B48,IF(C48="C",1,IF(C48="P",2,"")),D48)</f>
        <v>マーケットスピード II にログインして「接続中」の状態に変更してから利用してください。</v>
      </c>
      <c r="F48" t="str">
        <f>_xll.RssFOPMarket($E48,F$1)</f>
        <v/>
      </c>
      <c r="G48" t="str">
        <f>_xll.RssFOPMarket($E48,G$1)</f>
        <v/>
      </c>
      <c r="H48" t="str">
        <f>_xll.RssFOPMarket($E48,H$1)</f>
        <v/>
      </c>
      <c r="I48" t="str">
        <f>_xll.RssFOPMarket($E48,I$1)</f>
        <v/>
      </c>
      <c r="J48" t="str">
        <f>_xll.RssFOPMarket($E48,J$1)</f>
        <v/>
      </c>
      <c r="K48" t="str">
        <f>_xll.RssFOPMarket($E48,K$1)</f>
        <v/>
      </c>
      <c r="L48" t="str">
        <f>_xll.RssFOPMarket($E48,L$1)</f>
        <v/>
      </c>
      <c r="M48" t="str">
        <f>_xll.RssFOPMarket($E48,M$1)</f>
        <v/>
      </c>
      <c r="N48" t="str">
        <f>_xll.RssFOPMarket($E48,N$1)</f>
        <v/>
      </c>
      <c r="O48" t="str">
        <f>_xll.RssFOPMarket($E48,O$1)</f>
        <v/>
      </c>
      <c r="P48" t="str">
        <f>_xll.RssFOPMarket($E48,P$1)</f>
        <v/>
      </c>
      <c r="Q48" t="str">
        <f>_xll.RssFOPMarket($E48,Q$1)</f>
        <v/>
      </c>
    </row>
    <row r="49" spans="1:17" x14ac:dyDescent="0.4">
      <c r="A49" t="str">
        <f t="shared" si="0"/>
        <v>N225MOP</v>
      </c>
      <c r="B49" t="str">
        <f t="shared" si="0"/>
        <v>202310#4</v>
      </c>
      <c r="C49" t="str">
        <f t="shared" si="0"/>
        <v>C</v>
      </c>
      <c r="D49">
        <f t="shared" si="1"/>
        <v>30625</v>
      </c>
      <c r="E49" t="str">
        <f>_xll.RssFOPCode(A49,B49,IF(C49="C",1,IF(C49="P",2,"")),D49)</f>
        <v>マーケットスピード II にログインして「接続中」の状態に変更してから利用してください。</v>
      </c>
      <c r="F49" t="str">
        <f>_xll.RssFOPMarket($E49,F$1)</f>
        <v/>
      </c>
      <c r="G49" t="str">
        <f>_xll.RssFOPMarket($E49,G$1)</f>
        <v/>
      </c>
      <c r="H49" t="str">
        <f>_xll.RssFOPMarket($E49,H$1)</f>
        <v/>
      </c>
      <c r="I49" t="str">
        <f>_xll.RssFOPMarket($E49,I$1)</f>
        <v/>
      </c>
      <c r="J49" t="str">
        <f>_xll.RssFOPMarket($E49,J$1)</f>
        <v/>
      </c>
      <c r="K49" t="str">
        <f>_xll.RssFOPMarket($E49,K$1)</f>
        <v/>
      </c>
      <c r="L49" t="str">
        <f>_xll.RssFOPMarket($E49,L$1)</f>
        <v/>
      </c>
      <c r="M49" t="str">
        <f>_xll.RssFOPMarket($E49,M$1)</f>
        <v/>
      </c>
      <c r="N49" t="str">
        <f>_xll.RssFOPMarket($E49,N$1)</f>
        <v/>
      </c>
      <c r="O49" t="str">
        <f>_xll.RssFOPMarket($E49,O$1)</f>
        <v/>
      </c>
      <c r="P49" t="str">
        <f>_xll.RssFOPMarket($E49,P$1)</f>
        <v/>
      </c>
      <c r="Q49" t="str">
        <f>_xll.RssFOPMarket($E49,Q$1)</f>
        <v/>
      </c>
    </row>
    <row r="50" spans="1:17" x14ac:dyDescent="0.4">
      <c r="A50" t="str">
        <f t="shared" si="0"/>
        <v>N225MOP</v>
      </c>
      <c r="B50" t="str">
        <f t="shared" si="0"/>
        <v>202310#4</v>
      </c>
      <c r="C50" t="str">
        <f t="shared" si="0"/>
        <v>C</v>
      </c>
      <c r="D50">
        <f t="shared" si="1"/>
        <v>30500</v>
      </c>
      <c r="E50" t="str">
        <f>_xll.RssFOPCode(A50,B50,IF(C50="C",1,IF(C50="P",2,"")),D50)</f>
        <v>マーケットスピード II にログインして「接続中」の状態に変更してから利用してください。</v>
      </c>
      <c r="F50" t="str">
        <f>_xll.RssFOPMarket($E50,F$1)</f>
        <v/>
      </c>
      <c r="G50" t="str">
        <f>_xll.RssFOPMarket($E50,G$1)</f>
        <v/>
      </c>
      <c r="H50" t="str">
        <f>_xll.RssFOPMarket($E50,H$1)</f>
        <v/>
      </c>
      <c r="I50" t="str">
        <f>_xll.RssFOPMarket($E50,I$1)</f>
        <v/>
      </c>
      <c r="J50" t="str">
        <f>_xll.RssFOPMarket($E50,J$1)</f>
        <v/>
      </c>
      <c r="K50" t="str">
        <f>_xll.RssFOPMarket($E50,K$1)</f>
        <v/>
      </c>
      <c r="L50" t="str">
        <f>_xll.RssFOPMarket($E50,L$1)</f>
        <v/>
      </c>
      <c r="M50" t="str">
        <f>_xll.RssFOPMarket($E50,M$1)</f>
        <v/>
      </c>
      <c r="N50" t="str">
        <f>_xll.RssFOPMarket($E50,N$1)</f>
        <v/>
      </c>
      <c r="O50" t="str">
        <f>_xll.RssFOPMarket($E50,O$1)</f>
        <v/>
      </c>
      <c r="P50" t="str">
        <f>_xll.RssFOPMarket($E50,P$1)</f>
        <v/>
      </c>
      <c r="Q50" t="str">
        <f>_xll.RssFOPMarket($E50,Q$1)</f>
        <v/>
      </c>
    </row>
    <row r="51" spans="1:17" x14ac:dyDescent="0.4">
      <c r="A51" t="str">
        <f t="shared" si="0"/>
        <v>N225MOP</v>
      </c>
      <c r="B51" t="str">
        <f t="shared" si="0"/>
        <v>202310#4</v>
      </c>
      <c r="C51" t="str">
        <f t="shared" si="0"/>
        <v>C</v>
      </c>
      <c r="D51">
        <f t="shared" si="1"/>
        <v>30375</v>
      </c>
      <c r="E51" t="str">
        <f>_xll.RssFOPCode(A51,B51,IF(C51="C",1,IF(C51="P",2,"")),D51)</f>
        <v>マーケットスピード II にログインして「接続中」の状態に変更してから利用してください。</v>
      </c>
      <c r="F51" t="str">
        <f>_xll.RssFOPMarket($E51,F$1)</f>
        <v/>
      </c>
      <c r="G51" t="str">
        <f>_xll.RssFOPMarket($E51,G$1)</f>
        <v/>
      </c>
      <c r="H51" t="str">
        <f>_xll.RssFOPMarket($E51,H$1)</f>
        <v/>
      </c>
      <c r="I51" t="str">
        <f>_xll.RssFOPMarket($E51,I$1)</f>
        <v/>
      </c>
      <c r="J51" t="str">
        <f>_xll.RssFOPMarket($E51,J$1)</f>
        <v/>
      </c>
      <c r="K51" t="str">
        <f>_xll.RssFOPMarket($E51,K$1)</f>
        <v/>
      </c>
      <c r="L51" t="str">
        <f>_xll.RssFOPMarket($E51,L$1)</f>
        <v/>
      </c>
      <c r="M51" t="str">
        <f>_xll.RssFOPMarket($E51,M$1)</f>
        <v/>
      </c>
      <c r="N51" t="str">
        <f>_xll.RssFOPMarket($E51,N$1)</f>
        <v/>
      </c>
      <c r="O51" t="str">
        <f>_xll.RssFOPMarket($E51,O$1)</f>
        <v/>
      </c>
      <c r="P51" t="str">
        <f>_xll.RssFOPMarket($E51,P$1)</f>
        <v/>
      </c>
      <c r="Q51" t="str">
        <f>_xll.RssFOPMarket($E51,Q$1)</f>
        <v/>
      </c>
    </row>
    <row r="52" spans="1:17" x14ac:dyDescent="0.4">
      <c r="A52" t="str">
        <f t="shared" si="0"/>
        <v>N225MOP</v>
      </c>
      <c r="B52" t="str">
        <f t="shared" si="0"/>
        <v>202310#4</v>
      </c>
      <c r="C52" t="str">
        <f t="shared" si="0"/>
        <v>C</v>
      </c>
      <c r="D52">
        <f t="shared" si="1"/>
        <v>30250</v>
      </c>
      <c r="E52" t="str">
        <f>_xll.RssFOPCode(A52,B52,IF(C52="C",1,IF(C52="P",2,"")),D52)</f>
        <v>マーケットスピード II にログインして「接続中」の状態に変更してから利用してください。</v>
      </c>
      <c r="F52" t="str">
        <f>_xll.RssFOPMarket($E52,F$1)</f>
        <v/>
      </c>
      <c r="G52" t="str">
        <f>_xll.RssFOPMarket($E52,G$1)</f>
        <v/>
      </c>
      <c r="H52" t="str">
        <f>_xll.RssFOPMarket($E52,H$1)</f>
        <v/>
      </c>
      <c r="I52" t="str">
        <f>_xll.RssFOPMarket($E52,I$1)</f>
        <v/>
      </c>
      <c r="J52" t="str">
        <f>_xll.RssFOPMarket($E52,J$1)</f>
        <v/>
      </c>
      <c r="K52" t="str">
        <f>_xll.RssFOPMarket($E52,K$1)</f>
        <v/>
      </c>
      <c r="L52" t="str">
        <f>_xll.RssFOPMarket($E52,L$1)</f>
        <v/>
      </c>
      <c r="M52" t="str">
        <f>_xll.RssFOPMarket($E52,M$1)</f>
        <v/>
      </c>
      <c r="N52" t="str">
        <f>_xll.RssFOPMarket($E52,N$1)</f>
        <v/>
      </c>
      <c r="O52" t="str">
        <f>_xll.RssFOPMarket($E52,O$1)</f>
        <v/>
      </c>
      <c r="P52" t="str">
        <f>_xll.RssFOPMarket($E52,P$1)</f>
        <v/>
      </c>
      <c r="Q52" t="str">
        <f>_xll.RssFOPMarket($E52,Q$1)</f>
        <v/>
      </c>
    </row>
    <row r="53" spans="1:17" x14ac:dyDescent="0.4">
      <c r="A53" t="str">
        <f t="shared" si="0"/>
        <v>N225MOP</v>
      </c>
      <c r="B53" t="str">
        <f t="shared" si="0"/>
        <v>202310#4</v>
      </c>
      <c r="C53" t="str">
        <f t="shared" si="0"/>
        <v>C</v>
      </c>
      <c r="D53">
        <f t="shared" si="1"/>
        <v>30125</v>
      </c>
      <c r="E53" t="str">
        <f>_xll.RssFOPCode(A53,B53,IF(C53="C",1,IF(C53="P",2,"")),D53)</f>
        <v>マーケットスピード II にログインして「接続中」の状態に変更してから利用してください。</v>
      </c>
      <c r="F53" t="str">
        <f>_xll.RssFOPMarket($E53,F$1)</f>
        <v/>
      </c>
      <c r="G53" t="str">
        <f>_xll.RssFOPMarket($E53,G$1)</f>
        <v/>
      </c>
      <c r="H53" t="str">
        <f>_xll.RssFOPMarket($E53,H$1)</f>
        <v/>
      </c>
      <c r="I53" t="str">
        <f>_xll.RssFOPMarket($E53,I$1)</f>
        <v/>
      </c>
      <c r="J53" t="str">
        <f>_xll.RssFOPMarket($E53,J$1)</f>
        <v/>
      </c>
      <c r="K53" t="str">
        <f>_xll.RssFOPMarket($E53,K$1)</f>
        <v/>
      </c>
      <c r="L53" t="str">
        <f>_xll.RssFOPMarket($E53,L$1)</f>
        <v/>
      </c>
      <c r="M53" t="str">
        <f>_xll.RssFOPMarket($E53,M$1)</f>
        <v/>
      </c>
      <c r="N53" t="str">
        <f>_xll.RssFOPMarket($E53,N$1)</f>
        <v/>
      </c>
      <c r="O53" t="str">
        <f>_xll.RssFOPMarket($E53,O$1)</f>
        <v/>
      </c>
      <c r="P53" t="str">
        <f>_xll.RssFOPMarket($E53,P$1)</f>
        <v/>
      </c>
      <c r="Q53" t="str">
        <f>_xll.RssFOPMarket($E53,Q$1)</f>
        <v/>
      </c>
    </row>
    <row r="54" spans="1:17" x14ac:dyDescent="0.4">
      <c r="A54" t="str">
        <f t="shared" si="0"/>
        <v>N225MOP</v>
      </c>
      <c r="B54" t="str">
        <f t="shared" si="0"/>
        <v>202310#4</v>
      </c>
      <c r="C54" t="str">
        <f t="shared" si="0"/>
        <v>C</v>
      </c>
      <c r="D54">
        <f t="shared" si="1"/>
        <v>30000</v>
      </c>
      <c r="E54" t="str">
        <f>_xll.RssFOPCode(A54,B54,IF(C54="C",1,IF(C54="P",2,"")),D54)</f>
        <v>マーケットスピード II にログインして「接続中」の状態に変更してから利用してください。</v>
      </c>
      <c r="F54" t="str">
        <f>_xll.RssFOPMarket($E54,F$1)</f>
        <v/>
      </c>
      <c r="G54" t="str">
        <f>_xll.RssFOPMarket($E54,G$1)</f>
        <v/>
      </c>
      <c r="H54" t="str">
        <f>_xll.RssFOPMarket($E54,H$1)</f>
        <v/>
      </c>
      <c r="I54" t="str">
        <f>_xll.RssFOPMarket($E54,I$1)</f>
        <v/>
      </c>
      <c r="J54" t="str">
        <f>_xll.RssFOPMarket($E54,J$1)</f>
        <v/>
      </c>
      <c r="K54" t="str">
        <f>_xll.RssFOPMarket($E54,K$1)</f>
        <v/>
      </c>
      <c r="L54" t="str">
        <f>_xll.RssFOPMarket($E54,L$1)</f>
        <v/>
      </c>
      <c r="M54" t="str">
        <f>_xll.RssFOPMarket($E54,M$1)</f>
        <v/>
      </c>
      <c r="N54" t="str">
        <f>_xll.RssFOPMarket($E54,N$1)</f>
        <v/>
      </c>
      <c r="O54" t="str">
        <f>_xll.RssFOPMarket($E54,O$1)</f>
        <v/>
      </c>
      <c r="P54" t="str">
        <f>_xll.RssFOPMarket($E54,P$1)</f>
        <v/>
      </c>
      <c r="Q54" t="str">
        <f>_xll.RssFOPMarket($E54,Q$1)</f>
        <v/>
      </c>
    </row>
    <row r="55" spans="1:17" x14ac:dyDescent="0.4">
      <c r="A55" t="str">
        <f t="shared" si="0"/>
        <v>N225MOP</v>
      </c>
      <c r="B55" t="str">
        <f t="shared" si="0"/>
        <v>202310#4</v>
      </c>
      <c r="C55" t="str">
        <f t="shared" si="0"/>
        <v>C</v>
      </c>
      <c r="D55">
        <f t="shared" si="1"/>
        <v>29875</v>
      </c>
      <c r="E55" t="str">
        <f>_xll.RssFOPCode(A55,B55,IF(C55="C",1,IF(C55="P",2,"")),D55)</f>
        <v>マーケットスピード II にログインして「接続中」の状態に変更してから利用してください。</v>
      </c>
      <c r="F55" t="str">
        <f>_xll.RssFOPMarket($E55,F$1)</f>
        <v/>
      </c>
      <c r="G55" t="str">
        <f>_xll.RssFOPMarket($E55,G$1)</f>
        <v/>
      </c>
      <c r="H55" t="str">
        <f>_xll.RssFOPMarket($E55,H$1)</f>
        <v/>
      </c>
      <c r="I55" t="str">
        <f>_xll.RssFOPMarket($E55,I$1)</f>
        <v/>
      </c>
      <c r="J55" t="str">
        <f>_xll.RssFOPMarket($E55,J$1)</f>
        <v/>
      </c>
      <c r="K55" t="str">
        <f>_xll.RssFOPMarket($E55,K$1)</f>
        <v/>
      </c>
      <c r="L55" t="str">
        <f>_xll.RssFOPMarket($E55,L$1)</f>
        <v/>
      </c>
      <c r="M55" t="str">
        <f>_xll.RssFOPMarket($E55,M$1)</f>
        <v/>
      </c>
      <c r="N55" t="str">
        <f>_xll.RssFOPMarket($E55,N$1)</f>
        <v/>
      </c>
      <c r="O55" t="str">
        <f>_xll.RssFOPMarket($E55,O$1)</f>
        <v/>
      </c>
      <c r="P55" t="str">
        <f>_xll.RssFOPMarket($E55,P$1)</f>
        <v/>
      </c>
      <c r="Q55" t="str">
        <f>_xll.RssFOPMarket($E55,Q$1)</f>
        <v/>
      </c>
    </row>
    <row r="56" spans="1:17" x14ac:dyDescent="0.4">
      <c r="A56" t="str">
        <f t="shared" si="0"/>
        <v>N225MOP</v>
      </c>
      <c r="B56" t="str">
        <f t="shared" si="0"/>
        <v>202310#4</v>
      </c>
      <c r="C56" t="str">
        <f t="shared" si="0"/>
        <v>C</v>
      </c>
      <c r="D56">
        <f t="shared" si="1"/>
        <v>29750</v>
      </c>
      <c r="E56" t="str">
        <f>_xll.RssFOPCode(A56,B56,IF(C56="C",1,IF(C56="P",2,"")),D56)</f>
        <v>マーケットスピード II にログインして「接続中」の状態に変更してから利用してください。</v>
      </c>
      <c r="F56" t="str">
        <f>_xll.RssFOPMarket($E56,F$1)</f>
        <v/>
      </c>
      <c r="G56" t="str">
        <f>_xll.RssFOPMarket($E56,G$1)</f>
        <v/>
      </c>
      <c r="H56" t="str">
        <f>_xll.RssFOPMarket($E56,H$1)</f>
        <v/>
      </c>
      <c r="I56" t="str">
        <f>_xll.RssFOPMarket($E56,I$1)</f>
        <v/>
      </c>
      <c r="J56" t="str">
        <f>_xll.RssFOPMarket($E56,J$1)</f>
        <v/>
      </c>
      <c r="K56" t="str">
        <f>_xll.RssFOPMarket($E56,K$1)</f>
        <v/>
      </c>
      <c r="L56" t="str">
        <f>_xll.RssFOPMarket($E56,L$1)</f>
        <v/>
      </c>
      <c r="M56" t="str">
        <f>_xll.RssFOPMarket($E56,M$1)</f>
        <v/>
      </c>
      <c r="N56" t="str">
        <f>_xll.RssFOPMarket($E56,N$1)</f>
        <v/>
      </c>
      <c r="O56" t="str">
        <f>_xll.RssFOPMarket($E56,O$1)</f>
        <v/>
      </c>
      <c r="P56" t="str">
        <f>_xll.RssFOPMarket($E56,P$1)</f>
        <v/>
      </c>
      <c r="Q56" t="str">
        <f>_xll.RssFOPMarket($E56,Q$1)</f>
        <v/>
      </c>
    </row>
    <row r="57" spans="1:17" x14ac:dyDescent="0.4">
      <c r="A57" t="str">
        <f t="shared" si="0"/>
        <v>N225MOP</v>
      </c>
      <c r="B57" t="str">
        <f t="shared" si="0"/>
        <v>202310#4</v>
      </c>
      <c r="C57" t="str">
        <f t="shared" si="0"/>
        <v>C</v>
      </c>
      <c r="D57">
        <f t="shared" si="1"/>
        <v>29625</v>
      </c>
      <c r="E57" t="str">
        <f>_xll.RssFOPCode(A57,B57,IF(C57="C",1,IF(C57="P",2,"")),D57)</f>
        <v>マーケットスピード II にログインして「接続中」の状態に変更してから利用してください。</v>
      </c>
      <c r="F57" t="str">
        <f>_xll.RssFOPMarket($E57,F$1)</f>
        <v/>
      </c>
      <c r="G57" t="str">
        <f>_xll.RssFOPMarket($E57,G$1)</f>
        <v/>
      </c>
      <c r="H57" t="str">
        <f>_xll.RssFOPMarket($E57,H$1)</f>
        <v/>
      </c>
      <c r="I57" t="str">
        <f>_xll.RssFOPMarket($E57,I$1)</f>
        <v/>
      </c>
      <c r="J57" t="str">
        <f>_xll.RssFOPMarket($E57,J$1)</f>
        <v/>
      </c>
      <c r="K57" t="str">
        <f>_xll.RssFOPMarket($E57,K$1)</f>
        <v/>
      </c>
      <c r="L57" t="str">
        <f>_xll.RssFOPMarket($E57,L$1)</f>
        <v/>
      </c>
      <c r="M57" t="str">
        <f>_xll.RssFOPMarket($E57,M$1)</f>
        <v/>
      </c>
      <c r="N57" t="str">
        <f>_xll.RssFOPMarket($E57,N$1)</f>
        <v/>
      </c>
      <c r="O57" t="str">
        <f>_xll.RssFOPMarket($E57,O$1)</f>
        <v/>
      </c>
      <c r="P57" t="str">
        <f>_xll.RssFOPMarket($E57,P$1)</f>
        <v/>
      </c>
      <c r="Q57" t="str">
        <f>_xll.RssFOPMarket($E57,Q$1)</f>
        <v/>
      </c>
    </row>
    <row r="58" spans="1:17" x14ac:dyDescent="0.4">
      <c r="A58" t="str">
        <f t="shared" si="0"/>
        <v>N225MOP</v>
      </c>
      <c r="B58" t="str">
        <f t="shared" si="0"/>
        <v>202310#4</v>
      </c>
      <c r="C58" t="str">
        <f t="shared" si="0"/>
        <v>C</v>
      </c>
      <c r="D58">
        <f t="shared" si="1"/>
        <v>29500</v>
      </c>
      <c r="E58" t="str">
        <f>_xll.RssFOPCode(A58,B58,IF(C58="C",1,IF(C58="P",2,"")),D58)</f>
        <v>マーケットスピード II にログインして「接続中」の状態に変更してから利用してください。</v>
      </c>
      <c r="F58" t="str">
        <f>_xll.RssFOPMarket($E58,F$1)</f>
        <v/>
      </c>
      <c r="G58" t="str">
        <f>_xll.RssFOPMarket($E58,G$1)</f>
        <v/>
      </c>
      <c r="H58" t="str">
        <f>_xll.RssFOPMarket($E58,H$1)</f>
        <v/>
      </c>
      <c r="I58" t="str">
        <f>_xll.RssFOPMarket($E58,I$1)</f>
        <v/>
      </c>
      <c r="J58" t="str">
        <f>_xll.RssFOPMarket($E58,J$1)</f>
        <v/>
      </c>
      <c r="K58" t="str">
        <f>_xll.RssFOPMarket($E58,K$1)</f>
        <v/>
      </c>
      <c r="L58" t="str">
        <f>_xll.RssFOPMarket($E58,L$1)</f>
        <v/>
      </c>
      <c r="M58" t="str">
        <f>_xll.RssFOPMarket($E58,M$1)</f>
        <v/>
      </c>
      <c r="N58" t="str">
        <f>_xll.RssFOPMarket($E58,N$1)</f>
        <v/>
      </c>
      <c r="O58" t="str">
        <f>_xll.RssFOPMarket($E58,O$1)</f>
        <v/>
      </c>
      <c r="P58" t="str">
        <f>_xll.RssFOPMarket($E58,P$1)</f>
        <v/>
      </c>
      <c r="Q58" t="str">
        <f>_xll.RssFOPMarket($E58,Q$1)</f>
        <v/>
      </c>
    </row>
    <row r="59" spans="1:17" x14ac:dyDescent="0.4">
      <c r="A59" t="str">
        <f t="shared" si="0"/>
        <v>N225MOP</v>
      </c>
      <c r="B59" t="str">
        <f t="shared" si="0"/>
        <v>202310#4</v>
      </c>
      <c r="C59" t="str">
        <f t="shared" si="0"/>
        <v>C</v>
      </c>
      <c r="D59">
        <f t="shared" si="1"/>
        <v>29375</v>
      </c>
      <c r="E59" t="str">
        <f>_xll.RssFOPCode(A59,B59,IF(C59="C",1,IF(C59="P",2,"")),D59)</f>
        <v>マーケットスピード II にログインして「接続中」の状態に変更してから利用してください。</v>
      </c>
      <c r="F59" t="str">
        <f>_xll.RssFOPMarket($E59,F$1)</f>
        <v/>
      </c>
      <c r="G59" t="str">
        <f>_xll.RssFOPMarket($E59,G$1)</f>
        <v/>
      </c>
      <c r="H59" t="str">
        <f>_xll.RssFOPMarket($E59,H$1)</f>
        <v/>
      </c>
      <c r="I59" t="str">
        <f>_xll.RssFOPMarket($E59,I$1)</f>
        <v/>
      </c>
      <c r="J59" t="str">
        <f>_xll.RssFOPMarket($E59,J$1)</f>
        <v/>
      </c>
      <c r="K59" t="str">
        <f>_xll.RssFOPMarket($E59,K$1)</f>
        <v/>
      </c>
      <c r="L59" t="str">
        <f>_xll.RssFOPMarket($E59,L$1)</f>
        <v/>
      </c>
      <c r="M59" t="str">
        <f>_xll.RssFOPMarket($E59,M$1)</f>
        <v/>
      </c>
      <c r="N59" t="str">
        <f>_xll.RssFOPMarket($E59,N$1)</f>
        <v/>
      </c>
      <c r="O59" t="str">
        <f>_xll.RssFOPMarket($E59,O$1)</f>
        <v/>
      </c>
      <c r="P59" t="str">
        <f>_xll.RssFOPMarket($E59,P$1)</f>
        <v/>
      </c>
      <c r="Q59" t="str">
        <f>_xll.RssFOPMarket($E59,Q$1)</f>
        <v/>
      </c>
    </row>
    <row r="60" spans="1:17" x14ac:dyDescent="0.4">
      <c r="A60" t="str">
        <f t="shared" si="0"/>
        <v>N225MOP</v>
      </c>
      <c r="B60" t="str">
        <f t="shared" si="0"/>
        <v>202310#4</v>
      </c>
      <c r="C60" t="str">
        <f t="shared" si="0"/>
        <v>C</v>
      </c>
      <c r="D60">
        <f t="shared" si="1"/>
        <v>29250</v>
      </c>
      <c r="E60" t="str">
        <f>_xll.RssFOPCode(A60,B60,IF(C60="C",1,IF(C60="P",2,"")),D60)</f>
        <v>マーケットスピード II にログインして「接続中」の状態に変更してから利用してください。</v>
      </c>
      <c r="F60" t="str">
        <f>_xll.RssFOPMarket($E60,F$1)</f>
        <v/>
      </c>
      <c r="G60" t="str">
        <f>_xll.RssFOPMarket($E60,G$1)</f>
        <v/>
      </c>
      <c r="H60" t="str">
        <f>_xll.RssFOPMarket($E60,H$1)</f>
        <v/>
      </c>
      <c r="I60" t="str">
        <f>_xll.RssFOPMarket($E60,I$1)</f>
        <v/>
      </c>
      <c r="J60" t="str">
        <f>_xll.RssFOPMarket($E60,J$1)</f>
        <v/>
      </c>
      <c r="K60" t="str">
        <f>_xll.RssFOPMarket($E60,K$1)</f>
        <v/>
      </c>
      <c r="L60" t="str">
        <f>_xll.RssFOPMarket($E60,L$1)</f>
        <v/>
      </c>
      <c r="M60" t="str">
        <f>_xll.RssFOPMarket($E60,M$1)</f>
        <v/>
      </c>
      <c r="N60" t="str">
        <f>_xll.RssFOPMarket($E60,N$1)</f>
        <v/>
      </c>
      <c r="O60" t="str">
        <f>_xll.RssFOPMarket($E60,O$1)</f>
        <v/>
      </c>
      <c r="P60" t="str">
        <f>_xll.RssFOPMarket($E60,P$1)</f>
        <v/>
      </c>
      <c r="Q60" t="str">
        <f>_xll.RssFOPMarket($E60,Q$1)</f>
        <v/>
      </c>
    </row>
    <row r="61" spans="1:17" x14ac:dyDescent="0.4">
      <c r="A61" t="str">
        <f t="shared" si="0"/>
        <v>N225MOP</v>
      </c>
      <c r="B61" t="str">
        <f t="shared" si="0"/>
        <v>202310#4</v>
      </c>
      <c r="C61" t="str">
        <f t="shared" si="0"/>
        <v>C</v>
      </c>
      <c r="D61">
        <f t="shared" si="1"/>
        <v>29125</v>
      </c>
      <c r="E61" t="str">
        <f>_xll.RssFOPCode(A61,B61,IF(C61="C",1,IF(C61="P",2,"")),D61)</f>
        <v>マーケットスピード II にログインして「接続中」の状態に変更してから利用してください。</v>
      </c>
      <c r="F61" t="str">
        <f>_xll.RssFOPMarket($E61,F$1)</f>
        <v/>
      </c>
      <c r="G61" t="str">
        <f>_xll.RssFOPMarket($E61,G$1)</f>
        <v/>
      </c>
      <c r="H61" t="str">
        <f>_xll.RssFOPMarket($E61,H$1)</f>
        <v/>
      </c>
      <c r="I61" t="str">
        <f>_xll.RssFOPMarket($E61,I$1)</f>
        <v/>
      </c>
      <c r="J61" t="str">
        <f>_xll.RssFOPMarket($E61,J$1)</f>
        <v/>
      </c>
      <c r="K61" t="str">
        <f>_xll.RssFOPMarket($E61,K$1)</f>
        <v/>
      </c>
      <c r="L61" t="str">
        <f>_xll.RssFOPMarket($E61,L$1)</f>
        <v/>
      </c>
      <c r="M61" t="str">
        <f>_xll.RssFOPMarket($E61,M$1)</f>
        <v/>
      </c>
      <c r="N61" t="str">
        <f>_xll.RssFOPMarket($E61,N$1)</f>
        <v/>
      </c>
      <c r="O61" t="str">
        <f>_xll.RssFOPMarket($E61,O$1)</f>
        <v/>
      </c>
      <c r="P61" t="str">
        <f>_xll.RssFOPMarket($E61,P$1)</f>
        <v/>
      </c>
      <c r="Q61" t="str">
        <f>_xll.RssFOPMarket($E61,Q$1)</f>
        <v/>
      </c>
    </row>
    <row r="62" spans="1:17" x14ac:dyDescent="0.4">
      <c r="A62" t="str">
        <f t="shared" si="0"/>
        <v>N225MOP</v>
      </c>
      <c r="B62" t="str">
        <f t="shared" si="0"/>
        <v>202310#4</v>
      </c>
      <c r="C62" t="str">
        <f t="shared" si="0"/>
        <v>C</v>
      </c>
      <c r="D62">
        <f t="shared" si="1"/>
        <v>29000</v>
      </c>
      <c r="E62" t="str">
        <f>_xll.RssFOPCode(A62,B62,IF(C62="C",1,IF(C62="P",2,"")),D62)</f>
        <v>マーケットスピード II にログインして「接続中」の状態に変更してから利用してください。</v>
      </c>
      <c r="F62" t="str">
        <f>_xll.RssFOPMarket($E62,F$1)</f>
        <v/>
      </c>
      <c r="G62" t="str">
        <f>_xll.RssFOPMarket($E62,G$1)</f>
        <v/>
      </c>
      <c r="H62" t="str">
        <f>_xll.RssFOPMarket($E62,H$1)</f>
        <v/>
      </c>
      <c r="I62" t="str">
        <f>_xll.RssFOPMarket($E62,I$1)</f>
        <v/>
      </c>
      <c r="J62" t="str">
        <f>_xll.RssFOPMarket($E62,J$1)</f>
        <v/>
      </c>
      <c r="K62" t="str">
        <f>_xll.RssFOPMarket($E62,K$1)</f>
        <v/>
      </c>
      <c r="L62" t="str">
        <f>_xll.RssFOPMarket($E62,L$1)</f>
        <v/>
      </c>
      <c r="M62" t="str">
        <f>_xll.RssFOPMarket($E62,M$1)</f>
        <v/>
      </c>
      <c r="N62" t="str">
        <f>_xll.RssFOPMarket($E62,N$1)</f>
        <v/>
      </c>
      <c r="O62" t="str">
        <f>_xll.RssFOPMarket($E62,O$1)</f>
        <v/>
      </c>
      <c r="P62" t="str">
        <f>_xll.RssFOPMarket($E62,P$1)</f>
        <v/>
      </c>
      <c r="Q62" t="str">
        <f>_xll.RssFOPMarket($E62,Q$1)</f>
        <v/>
      </c>
    </row>
    <row r="63" spans="1:17" x14ac:dyDescent="0.4">
      <c r="A63" t="str">
        <f t="shared" si="0"/>
        <v>N225MOP</v>
      </c>
      <c r="B63" t="str">
        <f t="shared" si="0"/>
        <v>202310#4</v>
      </c>
      <c r="C63" t="str">
        <f t="shared" si="0"/>
        <v>C</v>
      </c>
      <c r="D63">
        <f t="shared" si="1"/>
        <v>28875</v>
      </c>
      <c r="E63" t="str">
        <f>_xll.RssFOPCode(A63,B63,IF(C63="C",1,IF(C63="P",2,"")),D63)</f>
        <v>マーケットスピード II にログインして「接続中」の状態に変更してから利用してください。</v>
      </c>
      <c r="F63" t="str">
        <f>_xll.RssFOPMarket($E63,F$1)</f>
        <v/>
      </c>
      <c r="G63" t="str">
        <f>_xll.RssFOPMarket($E63,G$1)</f>
        <v/>
      </c>
      <c r="H63" t="str">
        <f>_xll.RssFOPMarket($E63,H$1)</f>
        <v/>
      </c>
      <c r="I63" t="str">
        <f>_xll.RssFOPMarket($E63,I$1)</f>
        <v/>
      </c>
      <c r="J63" t="str">
        <f>_xll.RssFOPMarket($E63,J$1)</f>
        <v/>
      </c>
      <c r="K63" t="str">
        <f>_xll.RssFOPMarket($E63,K$1)</f>
        <v/>
      </c>
      <c r="L63" t="str">
        <f>_xll.RssFOPMarket($E63,L$1)</f>
        <v/>
      </c>
      <c r="M63" t="str">
        <f>_xll.RssFOPMarket($E63,M$1)</f>
        <v/>
      </c>
      <c r="N63" t="str">
        <f>_xll.RssFOPMarket($E63,N$1)</f>
        <v/>
      </c>
      <c r="O63" t="str">
        <f>_xll.RssFOPMarket($E63,O$1)</f>
        <v/>
      </c>
      <c r="P63" t="str">
        <f>_xll.RssFOPMarket($E63,P$1)</f>
        <v/>
      </c>
      <c r="Q63" t="str">
        <f>_xll.RssFOPMarket($E63,Q$1)</f>
        <v/>
      </c>
    </row>
    <row r="64" spans="1:17" x14ac:dyDescent="0.4">
      <c r="A64" t="str">
        <f t="shared" si="0"/>
        <v>N225MOP</v>
      </c>
      <c r="B64" t="str">
        <f t="shared" si="0"/>
        <v>202310#4</v>
      </c>
      <c r="C64" t="str">
        <f t="shared" si="0"/>
        <v>C</v>
      </c>
      <c r="D64">
        <f t="shared" si="1"/>
        <v>28750</v>
      </c>
      <c r="E64" t="str">
        <f>_xll.RssFOPCode(A64,B64,IF(C64="C",1,IF(C64="P",2,"")),D64)</f>
        <v>マーケットスピード II にログインして「接続中」の状態に変更してから利用してください。</v>
      </c>
      <c r="F64" t="str">
        <f>_xll.RssFOPMarket($E64,F$1)</f>
        <v/>
      </c>
      <c r="G64" t="str">
        <f>_xll.RssFOPMarket($E64,G$1)</f>
        <v/>
      </c>
      <c r="H64" t="str">
        <f>_xll.RssFOPMarket($E64,H$1)</f>
        <v/>
      </c>
      <c r="I64" t="str">
        <f>_xll.RssFOPMarket($E64,I$1)</f>
        <v/>
      </c>
      <c r="J64" t="str">
        <f>_xll.RssFOPMarket($E64,J$1)</f>
        <v/>
      </c>
      <c r="K64" t="str">
        <f>_xll.RssFOPMarket($E64,K$1)</f>
        <v/>
      </c>
      <c r="L64" t="str">
        <f>_xll.RssFOPMarket($E64,L$1)</f>
        <v/>
      </c>
      <c r="M64" t="str">
        <f>_xll.RssFOPMarket($E64,M$1)</f>
        <v/>
      </c>
      <c r="N64" t="str">
        <f>_xll.RssFOPMarket($E64,N$1)</f>
        <v/>
      </c>
      <c r="O64" t="str">
        <f>_xll.RssFOPMarket($E64,O$1)</f>
        <v/>
      </c>
      <c r="P64" t="str">
        <f>_xll.RssFOPMarket($E64,P$1)</f>
        <v/>
      </c>
      <c r="Q64" t="str">
        <f>_xll.RssFOPMarket($E64,Q$1)</f>
        <v/>
      </c>
    </row>
    <row r="65" spans="1:17" x14ac:dyDescent="0.4">
      <c r="A65" t="str">
        <f t="shared" si="0"/>
        <v>N225MOP</v>
      </c>
      <c r="B65" t="str">
        <f t="shared" si="0"/>
        <v>202310#4</v>
      </c>
      <c r="C65" t="str">
        <f t="shared" si="0"/>
        <v>C</v>
      </c>
      <c r="D65">
        <f t="shared" si="1"/>
        <v>28625</v>
      </c>
      <c r="E65" t="str">
        <f>_xll.RssFOPCode(A65,B65,IF(C65="C",1,IF(C65="P",2,"")),D65)</f>
        <v>マーケットスピード II にログインして「接続中」の状態に変更してから利用してください。</v>
      </c>
      <c r="F65" t="str">
        <f>_xll.RssFOPMarket($E65,F$1)</f>
        <v/>
      </c>
      <c r="G65" t="str">
        <f>_xll.RssFOPMarket($E65,G$1)</f>
        <v/>
      </c>
      <c r="H65" t="str">
        <f>_xll.RssFOPMarket($E65,H$1)</f>
        <v/>
      </c>
      <c r="I65" t="str">
        <f>_xll.RssFOPMarket($E65,I$1)</f>
        <v/>
      </c>
      <c r="J65" t="str">
        <f>_xll.RssFOPMarket($E65,J$1)</f>
        <v/>
      </c>
      <c r="K65" t="str">
        <f>_xll.RssFOPMarket($E65,K$1)</f>
        <v/>
      </c>
      <c r="L65" t="str">
        <f>_xll.RssFOPMarket($E65,L$1)</f>
        <v/>
      </c>
      <c r="M65" t="str">
        <f>_xll.RssFOPMarket($E65,M$1)</f>
        <v/>
      </c>
      <c r="N65" t="str">
        <f>_xll.RssFOPMarket($E65,N$1)</f>
        <v/>
      </c>
      <c r="O65" t="str">
        <f>_xll.RssFOPMarket($E65,O$1)</f>
        <v/>
      </c>
      <c r="P65" t="str">
        <f>_xll.RssFOPMarket($E65,P$1)</f>
        <v/>
      </c>
      <c r="Q65" t="str">
        <f>_xll.RssFOPMarket($E65,Q$1)</f>
        <v/>
      </c>
    </row>
    <row r="66" spans="1:17" x14ac:dyDescent="0.4">
      <c r="A66" t="str">
        <f t="shared" si="0"/>
        <v>N225MOP</v>
      </c>
      <c r="B66" t="str">
        <f t="shared" si="0"/>
        <v>202310#4</v>
      </c>
      <c r="C66" t="str">
        <f t="shared" si="0"/>
        <v>C</v>
      </c>
      <c r="D66">
        <f t="shared" si="1"/>
        <v>28500</v>
      </c>
      <c r="E66" t="str">
        <f>_xll.RssFOPCode(A66,B66,IF(C66="C",1,IF(C66="P",2,"")),D66)</f>
        <v>マーケットスピード II にログインして「接続中」の状態に変更してから利用してください。</v>
      </c>
      <c r="F66" t="str">
        <f>_xll.RssFOPMarket($E66,F$1)</f>
        <v/>
      </c>
      <c r="G66" t="str">
        <f>_xll.RssFOPMarket($E66,G$1)</f>
        <v/>
      </c>
      <c r="H66" t="str">
        <f>_xll.RssFOPMarket($E66,H$1)</f>
        <v/>
      </c>
      <c r="I66" t="str">
        <f>_xll.RssFOPMarket($E66,I$1)</f>
        <v/>
      </c>
      <c r="J66" t="str">
        <f>_xll.RssFOPMarket($E66,J$1)</f>
        <v/>
      </c>
      <c r="K66" t="str">
        <f>_xll.RssFOPMarket($E66,K$1)</f>
        <v/>
      </c>
      <c r="L66" t="str">
        <f>_xll.RssFOPMarket($E66,L$1)</f>
        <v/>
      </c>
      <c r="M66" t="str">
        <f>_xll.RssFOPMarket($E66,M$1)</f>
        <v/>
      </c>
      <c r="N66" t="str">
        <f>_xll.RssFOPMarket($E66,N$1)</f>
        <v/>
      </c>
      <c r="O66" t="str">
        <f>_xll.RssFOPMarket($E66,O$1)</f>
        <v/>
      </c>
      <c r="P66" t="str">
        <f>_xll.RssFOPMarket($E66,P$1)</f>
        <v/>
      </c>
      <c r="Q66" t="str">
        <f>_xll.RssFOPMarket($E66,Q$1)</f>
        <v/>
      </c>
    </row>
    <row r="67" spans="1:17" x14ac:dyDescent="0.4">
      <c r="A67" t="str">
        <f t="shared" si="0"/>
        <v>N225MOP</v>
      </c>
      <c r="B67" t="str">
        <f t="shared" si="0"/>
        <v>202310#4</v>
      </c>
      <c r="C67" t="str">
        <f t="shared" si="0"/>
        <v>C</v>
      </c>
      <c r="D67">
        <f t="shared" si="1"/>
        <v>28375</v>
      </c>
      <c r="E67" t="str">
        <f>_xll.RssFOPCode(A67,B67,IF(C67="C",1,IF(C67="P",2,"")),D67)</f>
        <v>マーケットスピード II にログインして「接続中」の状態に変更してから利用してください。</v>
      </c>
      <c r="F67" t="str">
        <f>_xll.RssFOPMarket($E67,F$1)</f>
        <v/>
      </c>
      <c r="G67" t="str">
        <f>_xll.RssFOPMarket($E67,G$1)</f>
        <v/>
      </c>
      <c r="H67" t="str">
        <f>_xll.RssFOPMarket($E67,H$1)</f>
        <v/>
      </c>
      <c r="I67" t="str">
        <f>_xll.RssFOPMarket($E67,I$1)</f>
        <v/>
      </c>
      <c r="J67" t="str">
        <f>_xll.RssFOPMarket($E67,J$1)</f>
        <v/>
      </c>
      <c r="K67" t="str">
        <f>_xll.RssFOPMarket($E67,K$1)</f>
        <v/>
      </c>
      <c r="L67" t="str">
        <f>_xll.RssFOPMarket($E67,L$1)</f>
        <v/>
      </c>
      <c r="M67" t="str">
        <f>_xll.RssFOPMarket($E67,M$1)</f>
        <v/>
      </c>
      <c r="N67" t="str">
        <f>_xll.RssFOPMarket($E67,N$1)</f>
        <v/>
      </c>
      <c r="O67" t="str">
        <f>_xll.RssFOPMarket($E67,O$1)</f>
        <v/>
      </c>
      <c r="P67" t="str">
        <f>_xll.RssFOPMarket($E67,P$1)</f>
        <v/>
      </c>
      <c r="Q67" t="str">
        <f>_xll.RssFOPMarket($E67,Q$1)</f>
        <v/>
      </c>
    </row>
    <row r="68" spans="1:17" x14ac:dyDescent="0.4">
      <c r="A68" t="str">
        <f>A67</f>
        <v>N225MOP</v>
      </c>
      <c r="B68" t="str">
        <f>B67</f>
        <v>202310#4</v>
      </c>
      <c r="C68" t="str">
        <f>C67</f>
        <v>C</v>
      </c>
      <c r="D68">
        <f>D67-125</f>
        <v>28250</v>
      </c>
      <c r="E68" t="str">
        <f>_xll.RssFOPCode(A68,B68,IF(C68="C",1,IF(C68="P",2,"")),D68)</f>
        <v>マーケットスピード II にログインして「接続中」の状態に変更してから利用してください。</v>
      </c>
      <c r="F68" t="str">
        <f>_xll.RssFOPMarket($E68,F$1)</f>
        <v/>
      </c>
      <c r="G68" t="str">
        <f>_xll.RssFOPMarket($E68,G$1)</f>
        <v/>
      </c>
      <c r="H68" t="str">
        <f>_xll.RssFOPMarket($E68,H$1)</f>
        <v/>
      </c>
      <c r="I68" t="str">
        <f>_xll.RssFOPMarket($E68,I$1)</f>
        <v/>
      </c>
      <c r="J68" t="str">
        <f>_xll.RssFOPMarket($E68,J$1)</f>
        <v/>
      </c>
      <c r="K68" t="str">
        <f>_xll.RssFOPMarket($E68,K$1)</f>
        <v/>
      </c>
      <c r="L68" t="str">
        <f>_xll.RssFOPMarket($E68,L$1)</f>
        <v/>
      </c>
      <c r="M68" t="str">
        <f>_xll.RssFOPMarket($E68,M$1)</f>
        <v/>
      </c>
      <c r="N68" t="str">
        <f>_xll.RssFOPMarket($E68,N$1)</f>
        <v/>
      </c>
      <c r="O68" t="str">
        <f>_xll.RssFOPMarket($E68,O$1)</f>
        <v/>
      </c>
      <c r="P68" t="str">
        <f>_xll.RssFOPMarket($E68,P$1)</f>
        <v/>
      </c>
      <c r="Q68" t="str">
        <f>_xll.RssFOPMarket($E68,Q$1)</f>
        <v/>
      </c>
    </row>
    <row r="101" spans="1:17" x14ac:dyDescent="0.4">
      <c r="A101" t="s">
        <v>23</v>
      </c>
      <c r="B101" t="s">
        <v>24</v>
      </c>
      <c r="C101" t="s">
        <v>13</v>
      </c>
      <c r="D101" t="s">
        <v>25</v>
      </c>
      <c r="E101" t="s">
        <v>26</v>
      </c>
      <c r="F101" t="s">
        <v>27</v>
      </c>
      <c r="G101" t="s">
        <v>28</v>
      </c>
      <c r="H101" t="s">
        <v>29</v>
      </c>
      <c r="I101" t="s">
        <v>30</v>
      </c>
      <c r="J101" t="s">
        <v>31</v>
      </c>
      <c r="K101" t="s">
        <v>32</v>
      </c>
      <c r="L101" t="s">
        <v>33</v>
      </c>
      <c r="M101" t="s">
        <v>34</v>
      </c>
      <c r="N101" t="s">
        <v>35</v>
      </c>
      <c r="O101" t="s">
        <v>36</v>
      </c>
      <c r="P101" t="s">
        <v>37</v>
      </c>
      <c r="Q101" t="s">
        <v>38</v>
      </c>
    </row>
    <row r="102" spans="1:17" x14ac:dyDescent="0.4">
      <c r="A102" t="s">
        <v>14</v>
      </c>
      <c r="B102" t="s">
        <v>19</v>
      </c>
      <c r="C102" t="s">
        <v>16</v>
      </c>
      <c r="D102">
        <v>36500</v>
      </c>
      <c r="E102" t="s">
        <v>90</v>
      </c>
    </row>
    <row r="103" spans="1:17" x14ac:dyDescent="0.4">
      <c r="A103" t="s">
        <v>14</v>
      </c>
      <c r="B103" t="s">
        <v>19</v>
      </c>
      <c r="C103" t="s">
        <v>16</v>
      </c>
      <c r="D103">
        <v>36375</v>
      </c>
      <c r="E103" t="s">
        <v>90</v>
      </c>
    </row>
    <row r="104" spans="1:17" x14ac:dyDescent="0.4">
      <c r="A104" t="s">
        <v>14</v>
      </c>
      <c r="B104" t="s">
        <v>19</v>
      </c>
      <c r="C104" t="s">
        <v>16</v>
      </c>
      <c r="D104">
        <v>36250</v>
      </c>
      <c r="E104" t="s">
        <v>90</v>
      </c>
    </row>
    <row r="105" spans="1:17" x14ac:dyDescent="0.4">
      <c r="A105" t="s">
        <v>14</v>
      </c>
      <c r="B105" t="s">
        <v>19</v>
      </c>
      <c r="C105" t="s">
        <v>16</v>
      </c>
      <c r="D105">
        <v>36125</v>
      </c>
      <c r="E105" t="s">
        <v>90</v>
      </c>
    </row>
    <row r="106" spans="1:17" x14ac:dyDescent="0.4">
      <c r="A106" t="s">
        <v>14</v>
      </c>
      <c r="B106" t="s">
        <v>19</v>
      </c>
      <c r="C106" t="s">
        <v>16</v>
      </c>
      <c r="D106">
        <v>36000</v>
      </c>
      <c r="E106" t="s">
        <v>90</v>
      </c>
    </row>
    <row r="107" spans="1:17" x14ac:dyDescent="0.4">
      <c r="A107" t="s">
        <v>14</v>
      </c>
      <c r="B107" t="s">
        <v>19</v>
      </c>
      <c r="C107" t="s">
        <v>16</v>
      </c>
      <c r="D107">
        <v>35875</v>
      </c>
      <c r="E107" t="s">
        <v>90</v>
      </c>
    </row>
    <row r="108" spans="1:17" x14ac:dyDescent="0.4">
      <c r="A108" t="s">
        <v>14</v>
      </c>
      <c r="B108" t="s">
        <v>19</v>
      </c>
      <c r="C108" t="s">
        <v>16</v>
      </c>
      <c r="D108">
        <v>35750</v>
      </c>
      <c r="E108" t="s">
        <v>90</v>
      </c>
    </row>
    <row r="109" spans="1:17" x14ac:dyDescent="0.4">
      <c r="A109" t="s">
        <v>14</v>
      </c>
      <c r="B109" t="s">
        <v>19</v>
      </c>
      <c r="C109" t="s">
        <v>16</v>
      </c>
      <c r="D109">
        <v>35625</v>
      </c>
      <c r="E109" t="s">
        <v>90</v>
      </c>
    </row>
    <row r="110" spans="1:17" x14ac:dyDescent="0.4">
      <c r="A110" t="s">
        <v>14</v>
      </c>
      <c r="B110" t="s">
        <v>19</v>
      </c>
      <c r="C110" t="s">
        <v>16</v>
      </c>
      <c r="D110">
        <v>35500</v>
      </c>
      <c r="E110" t="s">
        <v>90</v>
      </c>
    </row>
    <row r="111" spans="1:17" x14ac:dyDescent="0.4">
      <c r="A111" t="s">
        <v>14</v>
      </c>
      <c r="B111" t="s">
        <v>19</v>
      </c>
      <c r="C111" t="s">
        <v>16</v>
      </c>
      <c r="D111">
        <v>35375</v>
      </c>
      <c r="E111" t="s">
        <v>90</v>
      </c>
    </row>
    <row r="112" spans="1:17" x14ac:dyDescent="0.4">
      <c r="A112" t="s">
        <v>14</v>
      </c>
      <c r="B112" t="s">
        <v>19</v>
      </c>
      <c r="C112" t="s">
        <v>16</v>
      </c>
      <c r="D112">
        <v>35250</v>
      </c>
      <c r="E112" t="s">
        <v>90</v>
      </c>
    </row>
    <row r="113" spans="1:5" x14ac:dyDescent="0.4">
      <c r="A113" t="s">
        <v>14</v>
      </c>
      <c r="B113" t="s">
        <v>19</v>
      </c>
      <c r="C113" t="s">
        <v>16</v>
      </c>
      <c r="D113">
        <v>35125</v>
      </c>
      <c r="E113" t="s">
        <v>90</v>
      </c>
    </row>
    <row r="114" spans="1:5" x14ac:dyDescent="0.4">
      <c r="A114" t="s">
        <v>14</v>
      </c>
      <c r="B114" t="s">
        <v>19</v>
      </c>
      <c r="C114" t="s">
        <v>16</v>
      </c>
      <c r="D114">
        <v>35000</v>
      </c>
      <c r="E114" t="s">
        <v>90</v>
      </c>
    </row>
    <row r="115" spans="1:5" x14ac:dyDescent="0.4">
      <c r="A115" t="s">
        <v>14</v>
      </c>
      <c r="B115" t="s">
        <v>19</v>
      </c>
      <c r="C115" t="s">
        <v>16</v>
      </c>
      <c r="D115">
        <v>34875</v>
      </c>
      <c r="E115" t="s">
        <v>90</v>
      </c>
    </row>
    <row r="116" spans="1:5" x14ac:dyDescent="0.4">
      <c r="A116" t="s">
        <v>14</v>
      </c>
      <c r="B116" t="s">
        <v>19</v>
      </c>
      <c r="C116" t="s">
        <v>16</v>
      </c>
      <c r="D116">
        <v>34750</v>
      </c>
      <c r="E116" t="s">
        <v>90</v>
      </c>
    </row>
    <row r="117" spans="1:5" x14ac:dyDescent="0.4">
      <c r="A117" t="s">
        <v>14</v>
      </c>
      <c r="B117" t="s">
        <v>19</v>
      </c>
      <c r="C117" t="s">
        <v>16</v>
      </c>
      <c r="D117">
        <v>34625</v>
      </c>
      <c r="E117" t="s">
        <v>90</v>
      </c>
    </row>
    <row r="118" spans="1:5" x14ac:dyDescent="0.4">
      <c r="A118" t="s">
        <v>14</v>
      </c>
      <c r="B118" t="s">
        <v>19</v>
      </c>
      <c r="C118" t="s">
        <v>16</v>
      </c>
      <c r="D118">
        <v>34500</v>
      </c>
      <c r="E118" t="s">
        <v>90</v>
      </c>
    </row>
    <row r="119" spans="1:5" x14ac:dyDescent="0.4">
      <c r="A119" t="s">
        <v>14</v>
      </c>
      <c r="B119" t="s">
        <v>19</v>
      </c>
      <c r="C119" t="s">
        <v>16</v>
      </c>
      <c r="D119">
        <v>34375</v>
      </c>
      <c r="E119" t="s">
        <v>90</v>
      </c>
    </row>
    <row r="120" spans="1:5" x14ac:dyDescent="0.4">
      <c r="A120" t="s">
        <v>14</v>
      </c>
      <c r="B120" t="s">
        <v>19</v>
      </c>
      <c r="C120" t="s">
        <v>16</v>
      </c>
      <c r="D120">
        <v>34250</v>
      </c>
      <c r="E120" t="s">
        <v>90</v>
      </c>
    </row>
    <row r="121" spans="1:5" x14ac:dyDescent="0.4">
      <c r="A121" t="s">
        <v>14</v>
      </c>
      <c r="B121" t="s">
        <v>19</v>
      </c>
      <c r="C121" t="s">
        <v>16</v>
      </c>
      <c r="D121">
        <v>34125</v>
      </c>
      <c r="E121" t="s">
        <v>90</v>
      </c>
    </row>
    <row r="122" spans="1:5" x14ac:dyDescent="0.4">
      <c r="A122" t="s">
        <v>14</v>
      </c>
      <c r="B122" t="s">
        <v>19</v>
      </c>
      <c r="C122" t="s">
        <v>16</v>
      </c>
      <c r="D122">
        <v>34000</v>
      </c>
      <c r="E122" t="s">
        <v>90</v>
      </c>
    </row>
    <row r="123" spans="1:5" x14ac:dyDescent="0.4">
      <c r="A123" t="s">
        <v>14</v>
      </c>
      <c r="B123" t="s">
        <v>19</v>
      </c>
      <c r="C123" t="s">
        <v>16</v>
      </c>
      <c r="D123">
        <v>33875</v>
      </c>
      <c r="E123" t="s">
        <v>90</v>
      </c>
    </row>
    <row r="124" spans="1:5" x14ac:dyDescent="0.4">
      <c r="A124" t="s">
        <v>14</v>
      </c>
      <c r="B124" t="s">
        <v>19</v>
      </c>
      <c r="C124" t="s">
        <v>16</v>
      </c>
      <c r="D124">
        <v>33750</v>
      </c>
      <c r="E124" t="s">
        <v>90</v>
      </c>
    </row>
    <row r="125" spans="1:5" x14ac:dyDescent="0.4">
      <c r="A125" t="s">
        <v>14</v>
      </c>
      <c r="B125" t="s">
        <v>19</v>
      </c>
      <c r="C125" t="s">
        <v>16</v>
      </c>
      <c r="D125">
        <v>33625</v>
      </c>
      <c r="E125" t="s">
        <v>90</v>
      </c>
    </row>
    <row r="126" spans="1:5" x14ac:dyDescent="0.4">
      <c r="A126" t="s">
        <v>14</v>
      </c>
      <c r="B126" t="s">
        <v>19</v>
      </c>
      <c r="C126" t="s">
        <v>16</v>
      </c>
      <c r="D126">
        <v>33500</v>
      </c>
      <c r="E126" t="s">
        <v>90</v>
      </c>
    </row>
    <row r="127" spans="1:5" x14ac:dyDescent="0.4">
      <c r="A127" t="s">
        <v>14</v>
      </c>
      <c r="B127" t="s">
        <v>19</v>
      </c>
      <c r="C127" t="s">
        <v>16</v>
      </c>
      <c r="D127">
        <v>33375</v>
      </c>
      <c r="E127" t="s">
        <v>90</v>
      </c>
    </row>
    <row r="128" spans="1:5" x14ac:dyDescent="0.4">
      <c r="A128" t="s">
        <v>14</v>
      </c>
      <c r="B128" t="s">
        <v>19</v>
      </c>
      <c r="C128" t="s">
        <v>16</v>
      </c>
      <c r="D128">
        <v>33250</v>
      </c>
      <c r="E128" t="s">
        <v>90</v>
      </c>
    </row>
    <row r="129" spans="1:6" x14ac:dyDescent="0.4">
      <c r="A129" t="s">
        <v>14</v>
      </c>
      <c r="B129" t="s">
        <v>19</v>
      </c>
      <c r="C129" t="s">
        <v>16</v>
      </c>
      <c r="D129">
        <v>33125</v>
      </c>
      <c r="E129" t="s">
        <v>90</v>
      </c>
    </row>
    <row r="130" spans="1:6" x14ac:dyDescent="0.4">
      <c r="A130" t="s">
        <v>14</v>
      </c>
      <c r="B130" t="s">
        <v>19</v>
      </c>
      <c r="C130" t="s">
        <v>16</v>
      </c>
      <c r="D130">
        <v>33000</v>
      </c>
      <c r="E130" t="s">
        <v>90</v>
      </c>
      <c r="F130" s="2"/>
    </row>
    <row r="131" spans="1:6" x14ac:dyDescent="0.4">
      <c r="A131" t="s">
        <v>14</v>
      </c>
      <c r="B131" t="s">
        <v>19</v>
      </c>
      <c r="C131" t="s">
        <v>16</v>
      </c>
      <c r="D131">
        <v>32875</v>
      </c>
      <c r="E131" t="s">
        <v>90</v>
      </c>
    </row>
    <row r="132" spans="1:6" x14ac:dyDescent="0.4">
      <c r="A132" t="s">
        <v>14</v>
      </c>
      <c r="B132" t="s">
        <v>19</v>
      </c>
      <c r="C132" t="s">
        <v>16</v>
      </c>
      <c r="D132">
        <v>32750</v>
      </c>
      <c r="E132" t="s">
        <v>90</v>
      </c>
    </row>
    <row r="133" spans="1:6" x14ac:dyDescent="0.4">
      <c r="A133" t="s">
        <v>14</v>
      </c>
      <c r="B133" t="s">
        <v>19</v>
      </c>
      <c r="C133" t="s">
        <v>16</v>
      </c>
      <c r="D133">
        <v>32625</v>
      </c>
      <c r="E133" t="s">
        <v>90</v>
      </c>
    </row>
    <row r="134" spans="1:6" x14ac:dyDescent="0.4">
      <c r="A134" t="s">
        <v>14</v>
      </c>
      <c r="B134" t="s">
        <v>19</v>
      </c>
      <c r="C134" t="s">
        <v>16</v>
      </c>
      <c r="D134">
        <v>32500</v>
      </c>
      <c r="E134" t="s">
        <v>90</v>
      </c>
    </row>
    <row r="135" spans="1:6" x14ac:dyDescent="0.4">
      <c r="A135" t="s">
        <v>14</v>
      </c>
      <c r="B135" t="s">
        <v>19</v>
      </c>
      <c r="C135" t="s">
        <v>16</v>
      </c>
      <c r="D135">
        <v>32375</v>
      </c>
      <c r="E135" t="s">
        <v>90</v>
      </c>
    </row>
    <row r="136" spans="1:6" x14ac:dyDescent="0.4">
      <c r="A136" t="s">
        <v>14</v>
      </c>
      <c r="B136" t="s">
        <v>19</v>
      </c>
      <c r="C136" t="s">
        <v>16</v>
      </c>
      <c r="D136">
        <v>32250</v>
      </c>
      <c r="E136" t="s">
        <v>90</v>
      </c>
    </row>
    <row r="137" spans="1:6" x14ac:dyDescent="0.4">
      <c r="A137" t="s">
        <v>14</v>
      </c>
      <c r="B137" t="s">
        <v>19</v>
      </c>
      <c r="C137" t="s">
        <v>16</v>
      </c>
      <c r="D137">
        <v>32125</v>
      </c>
      <c r="E137" t="s">
        <v>90</v>
      </c>
    </row>
    <row r="138" spans="1:6" x14ac:dyDescent="0.4">
      <c r="A138" t="s">
        <v>14</v>
      </c>
      <c r="B138" t="s">
        <v>19</v>
      </c>
      <c r="C138" t="s">
        <v>15</v>
      </c>
      <c r="D138">
        <v>32000</v>
      </c>
      <c r="E138" t="s">
        <v>90</v>
      </c>
      <c r="F138" s="2"/>
    </row>
    <row r="139" spans="1:6" x14ac:dyDescent="0.4">
      <c r="A139" t="s">
        <v>14</v>
      </c>
      <c r="B139" t="s">
        <v>19</v>
      </c>
      <c r="C139" t="s">
        <v>15</v>
      </c>
      <c r="D139">
        <v>31875</v>
      </c>
      <c r="E139" t="s">
        <v>90</v>
      </c>
    </row>
    <row r="140" spans="1:6" x14ac:dyDescent="0.4">
      <c r="A140" t="s">
        <v>14</v>
      </c>
      <c r="B140" t="s">
        <v>19</v>
      </c>
      <c r="C140" t="s">
        <v>15</v>
      </c>
      <c r="D140">
        <v>31750</v>
      </c>
      <c r="E140" t="s">
        <v>90</v>
      </c>
      <c r="F140" s="2"/>
    </row>
    <row r="141" spans="1:6" x14ac:dyDescent="0.4">
      <c r="A141" t="s">
        <v>14</v>
      </c>
      <c r="B141" t="s">
        <v>19</v>
      </c>
      <c r="C141" t="s">
        <v>15</v>
      </c>
      <c r="D141">
        <v>31625</v>
      </c>
      <c r="E141" t="s">
        <v>90</v>
      </c>
    </row>
    <row r="142" spans="1:6" x14ac:dyDescent="0.4">
      <c r="A142" t="s">
        <v>14</v>
      </c>
      <c r="B142" t="s">
        <v>19</v>
      </c>
      <c r="C142" t="s">
        <v>15</v>
      </c>
      <c r="D142">
        <v>31500</v>
      </c>
      <c r="E142" t="s">
        <v>90</v>
      </c>
    </row>
    <row r="143" spans="1:6" x14ac:dyDescent="0.4">
      <c r="A143" t="s">
        <v>14</v>
      </c>
      <c r="B143" t="s">
        <v>19</v>
      </c>
      <c r="C143" t="s">
        <v>15</v>
      </c>
      <c r="D143">
        <v>31375</v>
      </c>
      <c r="E143" t="s">
        <v>90</v>
      </c>
    </row>
    <row r="144" spans="1:6" x14ac:dyDescent="0.4">
      <c r="A144" t="s">
        <v>14</v>
      </c>
      <c r="B144" t="s">
        <v>19</v>
      </c>
      <c r="C144" t="s">
        <v>15</v>
      </c>
      <c r="D144">
        <v>31250</v>
      </c>
      <c r="E144" t="s">
        <v>90</v>
      </c>
    </row>
    <row r="145" spans="1:5" x14ac:dyDescent="0.4">
      <c r="A145" t="s">
        <v>14</v>
      </c>
      <c r="B145" t="s">
        <v>19</v>
      </c>
      <c r="C145" t="s">
        <v>15</v>
      </c>
      <c r="D145">
        <v>31125</v>
      </c>
      <c r="E145" t="s">
        <v>90</v>
      </c>
    </row>
    <row r="146" spans="1:5" x14ac:dyDescent="0.4">
      <c r="A146" t="s">
        <v>14</v>
      </c>
      <c r="B146" t="s">
        <v>19</v>
      </c>
      <c r="C146" t="s">
        <v>15</v>
      </c>
      <c r="D146">
        <v>31000</v>
      </c>
      <c r="E146" t="s">
        <v>90</v>
      </c>
    </row>
    <row r="147" spans="1:5" x14ac:dyDescent="0.4">
      <c r="A147" t="s">
        <v>14</v>
      </c>
      <c r="B147" t="s">
        <v>19</v>
      </c>
      <c r="C147" t="s">
        <v>15</v>
      </c>
      <c r="D147">
        <v>30875</v>
      </c>
      <c r="E147" t="s">
        <v>90</v>
      </c>
    </row>
    <row r="148" spans="1:5" x14ac:dyDescent="0.4">
      <c r="A148" t="s">
        <v>14</v>
      </c>
      <c r="B148" t="s">
        <v>19</v>
      </c>
      <c r="C148" t="s">
        <v>15</v>
      </c>
      <c r="D148">
        <v>30750</v>
      </c>
      <c r="E148" t="s">
        <v>90</v>
      </c>
    </row>
    <row r="149" spans="1:5" x14ac:dyDescent="0.4">
      <c r="A149" t="s">
        <v>14</v>
      </c>
      <c r="B149" t="s">
        <v>19</v>
      </c>
      <c r="C149" t="s">
        <v>15</v>
      </c>
      <c r="D149">
        <v>30625</v>
      </c>
      <c r="E149" t="s">
        <v>90</v>
      </c>
    </row>
    <row r="150" spans="1:5" x14ac:dyDescent="0.4">
      <c r="A150" t="s">
        <v>14</v>
      </c>
      <c r="B150" t="s">
        <v>19</v>
      </c>
      <c r="C150" t="s">
        <v>15</v>
      </c>
      <c r="D150">
        <v>30500</v>
      </c>
      <c r="E150" t="s">
        <v>90</v>
      </c>
    </row>
    <row r="151" spans="1:5" x14ac:dyDescent="0.4">
      <c r="A151" t="s">
        <v>14</v>
      </c>
      <c r="B151" t="s">
        <v>19</v>
      </c>
      <c r="C151" t="s">
        <v>15</v>
      </c>
      <c r="D151">
        <v>30375</v>
      </c>
      <c r="E151" t="s">
        <v>90</v>
      </c>
    </row>
    <row r="152" spans="1:5" x14ac:dyDescent="0.4">
      <c r="A152" t="s">
        <v>14</v>
      </c>
      <c r="B152" t="s">
        <v>19</v>
      </c>
      <c r="C152" t="s">
        <v>15</v>
      </c>
      <c r="D152">
        <v>30250</v>
      </c>
      <c r="E152" t="s">
        <v>90</v>
      </c>
    </row>
    <row r="153" spans="1:5" x14ac:dyDescent="0.4">
      <c r="A153" t="s">
        <v>14</v>
      </c>
      <c r="B153" t="s">
        <v>19</v>
      </c>
      <c r="C153" t="s">
        <v>15</v>
      </c>
      <c r="D153">
        <v>30125</v>
      </c>
      <c r="E153" t="s">
        <v>90</v>
      </c>
    </row>
    <row r="154" spans="1:5" x14ac:dyDescent="0.4">
      <c r="A154" t="s">
        <v>14</v>
      </c>
      <c r="B154" t="s">
        <v>19</v>
      </c>
      <c r="C154" t="s">
        <v>15</v>
      </c>
      <c r="D154">
        <v>30000</v>
      </c>
      <c r="E154" t="s">
        <v>90</v>
      </c>
    </row>
    <row r="155" spans="1:5" x14ac:dyDescent="0.4">
      <c r="A155" t="s">
        <v>14</v>
      </c>
      <c r="B155" t="s">
        <v>19</v>
      </c>
      <c r="C155" t="s">
        <v>15</v>
      </c>
      <c r="D155">
        <v>29875</v>
      </c>
      <c r="E155" t="s">
        <v>90</v>
      </c>
    </row>
    <row r="156" spans="1:5" x14ac:dyDescent="0.4">
      <c r="A156" t="s">
        <v>14</v>
      </c>
      <c r="B156" t="s">
        <v>19</v>
      </c>
      <c r="C156" t="s">
        <v>15</v>
      </c>
      <c r="D156">
        <v>29750</v>
      </c>
      <c r="E156" t="s">
        <v>90</v>
      </c>
    </row>
    <row r="157" spans="1:5" x14ac:dyDescent="0.4">
      <c r="A157" t="s">
        <v>14</v>
      </c>
      <c r="B157" t="s">
        <v>19</v>
      </c>
      <c r="C157" t="s">
        <v>15</v>
      </c>
      <c r="D157">
        <v>29625</v>
      </c>
      <c r="E157" t="s">
        <v>90</v>
      </c>
    </row>
    <row r="158" spans="1:5" x14ac:dyDescent="0.4">
      <c r="A158" t="s">
        <v>14</v>
      </c>
      <c r="B158" t="s">
        <v>19</v>
      </c>
      <c r="C158" t="s">
        <v>15</v>
      </c>
      <c r="D158">
        <v>29500</v>
      </c>
      <c r="E158" t="s">
        <v>90</v>
      </c>
    </row>
    <row r="159" spans="1:5" x14ac:dyDescent="0.4">
      <c r="A159" t="s">
        <v>14</v>
      </c>
      <c r="B159" t="s">
        <v>19</v>
      </c>
      <c r="C159" t="s">
        <v>15</v>
      </c>
      <c r="D159">
        <v>29375</v>
      </c>
      <c r="E159" t="s">
        <v>90</v>
      </c>
    </row>
    <row r="160" spans="1:5" x14ac:dyDescent="0.4">
      <c r="A160" t="s">
        <v>14</v>
      </c>
      <c r="B160" t="s">
        <v>19</v>
      </c>
      <c r="C160" t="s">
        <v>15</v>
      </c>
      <c r="D160">
        <v>29250</v>
      </c>
      <c r="E160" t="s">
        <v>90</v>
      </c>
    </row>
    <row r="161" spans="1:6" x14ac:dyDescent="0.4">
      <c r="A161" t="s">
        <v>14</v>
      </c>
      <c r="B161" t="s">
        <v>19</v>
      </c>
      <c r="C161" t="s">
        <v>15</v>
      </c>
      <c r="D161">
        <v>29125</v>
      </c>
      <c r="E161" t="s">
        <v>90</v>
      </c>
      <c r="F161" s="2"/>
    </row>
    <row r="162" spans="1:6" x14ac:dyDescent="0.4">
      <c r="A162" t="s">
        <v>14</v>
      </c>
      <c r="B162" t="s">
        <v>19</v>
      </c>
      <c r="C162" t="s">
        <v>15</v>
      </c>
      <c r="D162">
        <v>29000</v>
      </c>
      <c r="E162" t="s">
        <v>90</v>
      </c>
    </row>
    <row r="163" spans="1:6" x14ac:dyDescent="0.4">
      <c r="A163" t="s">
        <v>14</v>
      </c>
      <c r="B163" t="s">
        <v>19</v>
      </c>
      <c r="C163" t="s">
        <v>15</v>
      </c>
      <c r="D163">
        <v>28875</v>
      </c>
      <c r="E163" t="s">
        <v>90</v>
      </c>
    </row>
    <row r="164" spans="1:6" x14ac:dyDescent="0.4">
      <c r="A164" t="s">
        <v>14</v>
      </c>
      <c r="B164" t="s">
        <v>19</v>
      </c>
      <c r="C164" t="s">
        <v>15</v>
      </c>
      <c r="D164">
        <v>28750</v>
      </c>
      <c r="E164" t="s">
        <v>90</v>
      </c>
    </row>
    <row r="165" spans="1:6" x14ac:dyDescent="0.4">
      <c r="A165" t="s">
        <v>14</v>
      </c>
      <c r="B165" t="s">
        <v>19</v>
      </c>
      <c r="C165" t="s">
        <v>15</v>
      </c>
      <c r="D165">
        <v>28625</v>
      </c>
      <c r="E165" t="s">
        <v>90</v>
      </c>
    </row>
    <row r="166" spans="1:6" x14ac:dyDescent="0.4">
      <c r="A166" t="s">
        <v>14</v>
      </c>
      <c r="B166" t="s">
        <v>19</v>
      </c>
      <c r="C166" t="s">
        <v>15</v>
      </c>
      <c r="D166">
        <v>28500</v>
      </c>
      <c r="E166" t="s">
        <v>90</v>
      </c>
    </row>
    <row r="167" spans="1:6" x14ac:dyDescent="0.4">
      <c r="A167" t="s">
        <v>14</v>
      </c>
      <c r="B167" t="s">
        <v>19</v>
      </c>
      <c r="C167" t="s">
        <v>15</v>
      </c>
      <c r="D167">
        <v>28375</v>
      </c>
      <c r="E167" t="s">
        <v>90</v>
      </c>
    </row>
    <row r="168" spans="1:6" x14ac:dyDescent="0.4">
      <c r="A168" t="s">
        <v>14</v>
      </c>
      <c r="B168" t="s">
        <v>19</v>
      </c>
      <c r="C168" t="s">
        <v>15</v>
      </c>
      <c r="D168">
        <v>28250</v>
      </c>
      <c r="E168" t="s">
        <v>90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AE95-BA86-48AD-8D9C-7882DFFF0FF4}">
  <sheetPr codeName="Sheet9"/>
  <dimension ref="A1:Q168"/>
  <sheetViews>
    <sheetView workbookViewId="0">
      <pane ySplit="1" topLeftCell="A2" activePane="bottomLeft" state="frozen"/>
      <selection activeCell="B1" sqref="B1"/>
      <selection pane="bottomLeft" activeCell="Q1" sqref="Q1"/>
    </sheetView>
  </sheetViews>
  <sheetFormatPr defaultRowHeight="18.75" x14ac:dyDescent="0.4"/>
  <cols>
    <col min="1" max="1" width="10.25" bestFit="1" customWidth="1"/>
    <col min="2" max="2" width="9.625" bestFit="1" customWidth="1"/>
    <col min="3" max="3" width="4.875" bestFit="1" customWidth="1"/>
    <col min="4" max="4" width="9" bestFit="1" customWidth="1"/>
    <col min="5" max="5" width="11" bestFit="1" customWidth="1"/>
  </cols>
  <sheetData>
    <row r="1" spans="1:17" x14ac:dyDescent="0.4">
      <c r="A1" t="s">
        <v>11</v>
      </c>
      <c r="B1" t="s">
        <v>12</v>
      </c>
      <c r="C1" t="s">
        <v>13</v>
      </c>
      <c r="D1" t="s">
        <v>0</v>
      </c>
      <c r="E1" t="s">
        <v>17</v>
      </c>
      <c r="F1" t="s">
        <v>2</v>
      </c>
      <c r="G1" t="s">
        <v>1</v>
      </c>
      <c r="H1" s="1" t="s">
        <v>21</v>
      </c>
      <c r="I1" t="s">
        <v>9</v>
      </c>
      <c r="J1" t="s">
        <v>10</v>
      </c>
      <c r="K1" t="s">
        <v>3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s="1" t="s">
        <v>22</v>
      </c>
    </row>
    <row r="2" spans="1:17" x14ac:dyDescent="0.4">
      <c r="A2" t="s">
        <v>14</v>
      </c>
      <c r="B2" t="s">
        <v>20</v>
      </c>
      <c r="C2" t="s">
        <v>15</v>
      </c>
      <c r="D2">
        <v>36500</v>
      </c>
      <c r="E2" t="str">
        <f>_xll.RssFOPCode(A2,B2,IF(C2="C",1,IF(C2="P",2,"")),D2)</f>
        <v>マーケットスピード II にログインして「接続中」の状態に変更してから利用してください。</v>
      </c>
      <c r="F2" t="str">
        <f>_xll.RssFOPMarket($E2,F$1)</f>
        <v/>
      </c>
      <c r="G2" t="str">
        <f>_xll.RssFOPMarket($E2,G$1)</f>
        <v/>
      </c>
      <c r="H2" t="str">
        <f>_xll.RssFOPMarket($E2,H$1)</f>
        <v/>
      </c>
      <c r="I2" t="str">
        <f>_xll.RssFOPMarket($E2,I$1)</f>
        <v/>
      </c>
      <c r="J2" t="str">
        <f>_xll.RssFOPMarket($E2,J$1)</f>
        <v/>
      </c>
      <c r="K2" t="str">
        <f>_xll.RssFOPMarket($E2,K$1)</f>
        <v/>
      </c>
      <c r="L2" t="str">
        <f>_xll.RssFOPMarket($E2,L$1)</f>
        <v/>
      </c>
      <c r="M2" t="str">
        <f>_xll.RssFOPMarket($E2,M$1)</f>
        <v/>
      </c>
      <c r="N2" t="str">
        <f>_xll.RssFOPMarket($E2,N$1)</f>
        <v/>
      </c>
      <c r="O2" t="str">
        <f>_xll.RssFOPMarket($E2,O$1)</f>
        <v/>
      </c>
      <c r="P2" t="str">
        <f>_xll.RssFOPMarket($E2,P$1)</f>
        <v/>
      </c>
      <c r="Q2" t="str">
        <f>_xll.RssFOPMarket($E2,Q$1)</f>
        <v/>
      </c>
    </row>
    <row r="3" spans="1:17" x14ac:dyDescent="0.4">
      <c r="A3" t="str">
        <f>A2</f>
        <v>N225MOP</v>
      </c>
      <c r="B3" t="str">
        <f>B2</f>
        <v>202311#1</v>
      </c>
      <c r="C3" t="str">
        <f>C2</f>
        <v>C</v>
      </c>
      <c r="D3">
        <f>D2-125</f>
        <v>36375</v>
      </c>
      <c r="E3" t="str">
        <f>_xll.RssFOPCode(A3,B3,IF(C3="C",1,IF(C3="P",2,"")),D3)</f>
        <v>マーケットスピード II にログインして「接続中」の状態に変更してから利用してください。</v>
      </c>
      <c r="F3" t="str">
        <f>_xll.RssFOPMarket($E3,F$1)</f>
        <v/>
      </c>
      <c r="G3" t="str">
        <f>_xll.RssFOPMarket($E3,G$1)</f>
        <v/>
      </c>
      <c r="H3" t="str">
        <f>_xll.RssFOPMarket($E3,H$1)</f>
        <v/>
      </c>
      <c r="I3" t="str">
        <f>_xll.RssFOPMarket($E3,I$1)</f>
        <v/>
      </c>
      <c r="J3" t="str">
        <f>_xll.RssFOPMarket($E3,J$1)</f>
        <v/>
      </c>
      <c r="K3" t="str">
        <f>_xll.RssFOPMarket($E3,K$1)</f>
        <v/>
      </c>
      <c r="L3" t="str">
        <f>_xll.RssFOPMarket($E3,L$1)</f>
        <v/>
      </c>
      <c r="M3" t="str">
        <f>_xll.RssFOPMarket($E3,M$1)</f>
        <v/>
      </c>
      <c r="N3" t="str">
        <f>_xll.RssFOPMarket($E3,N$1)</f>
        <v/>
      </c>
      <c r="O3" t="str">
        <f>_xll.RssFOPMarket($E3,O$1)</f>
        <v/>
      </c>
      <c r="P3" t="str">
        <f>_xll.RssFOPMarket($E3,P$1)</f>
        <v/>
      </c>
      <c r="Q3" t="str">
        <f>_xll.RssFOPMarket($E3,Q$1)</f>
        <v/>
      </c>
    </row>
    <row r="4" spans="1:17" x14ac:dyDescent="0.4">
      <c r="A4" t="str">
        <f t="shared" ref="A4:C67" si="0">A3</f>
        <v>N225MOP</v>
      </c>
      <c r="B4" t="str">
        <f t="shared" si="0"/>
        <v>202311#1</v>
      </c>
      <c r="C4" t="str">
        <f t="shared" si="0"/>
        <v>C</v>
      </c>
      <c r="D4">
        <f t="shared" ref="D4:D67" si="1">D3-125</f>
        <v>36250</v>
      </c>
      <c r="E4" t="str">
        <f>_xll.RssFOPCode(A4,B4,IF(C4="C",1,IF(C4="P",2,"")),D4)</f>
        <v>マーケットスピード II にログインして「接続中」の状態に変更してから利用してください。</v>
      </c>
      <c r="F4" t="str">
        <f>_xll.RssFOPMarket($E4,F$1)</f>
        <v/>
      </c>
      <c r="G4" t="str">
        <f>_xll.RssFOPMarket($E4,G$1)</f>
        <v/>
      </c>
      <c r="H4" t="str">
        <f>_xll.RssFOPMarket($E4,H$1)</f>
        <v/>
      </c>
      <c r="I4" t="str">
        <f>_xll.RssFOPMarket($E4,I$1)</f>
        <v/>
      </c>
      <c r="J4" t="str">
        <f>_xll.RssFOPMarket($E4,J$1)</f>
        <v/>
      </c>
      <c r="K4" t="str">
        <f>_xll.RssFOPMarket($E4,K$1)</f>
        <v/>
      </c>
      <c r="L4" t="str">
        <f>_xll.RssFOPMarket($E4,L$1)</f>
        <v/>
      </c>
      <c r="M4" t="str">
        <f>_xll.RssFOPMarket($E4,M$1)</f>
        <v/>
      </c>
      <c r="N4" t="str">
        <f>_xll.RssFOPMarket($E4,N$1)</f>
        <v/>
      </c>
      <c r="O4" t="str">
        <f>_xll.RssFOPMarket($E4,O$1)</f>
        <v/>
      </c>
      <c r="P4" t="str">
        <f>_xll.RssFOPMarket($E4,P$1)</f>
        <v/>
      </c>
      <c r="Q4" t="str">
        <f>_xll.RssFOPMarket($E4,Q$1)</f>
        <v/>
      </c>
    </row>
    <row r="5" spans="1:17" x14ac:dyDescent="0.4">
      <c r="A5" t="str">
        <f t="shared" si="0"/>
        <v>N225MOP</v>
      </c>
      <c r="B5" t="str">
        <f t="shared" si="0"/>
        <v>202311#1</v>
      </c>
      <c r="C5" t="str">
        <f t="shared" si="0"/>
        <v>C</v>
      </c>
      <c r="D5">
        <f t="shared" si="1"/>
        <v>36125</v>
      </c>
      <c r="E5" t="str">
        <f>_xll.RssFOPCode(A5,B5,IF(C5="C",1,IF(C5="P",2,"")),D5)</f>
        <v>マーケットスピード II にログインして「接続中」の状態に変更してから利用してください。</v>
      </c>
      <c r="F5" t="str">
        <f>_xll.RssFOPMarket($E5,F$1)</f>
        <v/>
      </c>
      <c r="G5" t="str">
        <f>_xll.RssFOPMarket($E5,G$1)</f>
        <v/>
      </c>
      <c r="H5" t="str">
        <f>_xll.RssFOPMarket($E5,H$1)</f>
        <v/>
      </c>
      <c r="I5" t="str">
        <f>_xll.RssFOPMarket($E5,I$1)</f>
        <v/>
      </c>
      <c r="J5" t="str">
        <f>_xll.RssFOPMarket($E5,J$1)</f>
        <v/>
      </c>
      <c r="K5" t="str">
        <f>_xll.RssFOPMarket($E5,K$1)</f>
        <v/>
      </c>
      <c r="L5" t="str">
        <f>_xll.RssFOPMarket($E5,L$1)</f>
        <v/>
      </c>
      <c r="M5" t="str">
        <f>_xll.RssFOPMarket($E5,M$1)</f>
        <v/>
      </c>
      <c r="N5" t="str">
        <f>_xll.RssFOPMarket($E5,N$1)</f>
        <v/>
      </c>
      <c r="O5" t="str">
        <f>_xll.RssFOPMarket($E5,O$1)</f>
        <v/>
      </c>
      <c r="P5" t="str">
        <f>_xll.RssFOPMarket($E5,P$1)</f>
        <v/>
      </c>
      <c r="Q5" t="str">
        <f>_xll.RssFOPMarket($E5,Q$1)</f>
        <v/>
      </c>
    </row>
    <row r="6" spans="1:17" x14ac:dyDescent="0.4">
      <c r="A6" t="str">
        <f t="shared" si="0"/>
        <v>N225MOP</v>
      </c>
      <c r="B6" t="str">
        <f t="shared" si="0"/>
        <v>202311#1</v>
      </c>
      <c r="C6" t="str">
        <f t="shared" si="0"/>
        <v>C</v>
      </c>
      <c r="D6">
        <f t="shared" si="1"/>
        <v>36000</v>
      </c>
      <c r="E6" t="str">
        <f>_xll.RssFOPCode(A6,B6,IF(C6="C",1,IF(C6="P",2,"")),D6)</f>
        <v>マーケットスピード II にログインして「接続中」の状態に変更してから利用してください。</v>
      </c>
      <c r="F6" t="str">
        <f>_xll.RssFOPMarket($E6,F$1)</f>
        <v/>
      </c>
      <c r="G6" t="str">
        <f>_xll.RssFOPMarket($E6,G$1)</f>
        <v/>
      </c>
      <c r="H6" t="str">
        <f>_xll.RssFOPMarket($E6,H$1)</f>
        <v/>
      </c>
      <c r="I6" t="str">
        <f>_xll.RssFOPMarket($E6,I$1)</f>
        <v/>
      </c>
      <c r="J6" t="str">
        <f>_xll.RssFOPMarket($E6,J$1)</f>
        <v/>
      </c>
      <c r="K6" t="str">
        <f>_xll.RssFOPMarket($E6,K$1)</f>
        <v/>
      </c>
      <c r="L6" t="str">
        <f>_xll.RssFOPMarket($E6,L$1)</f>
        <v/>
      </c>
      <c r="M6" t="str">
        <f>_xll.RssFOPMarket($E6,M$1)</f>
        <v/>
      </c>
      <c r="N6" t="str">
        <f>_xll.RssFOPMarket($E6,N$1)</f>
        <v/>
      </c>
      <c r="O6" t="str">
        <f>_xll.RssFOPMarket($E6,O$1)</f>
        <v/>
      </c>
      <c r="P6" t="str">
        <f>_xll.RssFOPMarket($E6,P$1)</f>
        <v/>
      </c>
      <c r="Q6" t="str">
        <f>_xll.RssFOPMarket($E6,Q$1)</f>
        <v/>
      </c>
    </row>
    <row r="7" spans="1:17" x14ac:dyDescent="0.4">
      <c r="A7" t="str">
        <f t="shared" si="0"/>
        <v>N225MOP</v>
      </c>
      <c r="B7" t="str">
        <f t="shared" si="0"/>
        <v>202311#1</v>
      </c>
      <c r="C7" t="str">
        <f t="shared" si="0"/>
        <v>C</v>
      </c>
      <c r="D7">
        <f t="shared" si="1"/>
        <v>35875</v>
      </c>
      <c r="E7" t="str">
        <f>_xll.RssFOPCode(A7,B7,IF(C7="C",1,IF(C7="P",2,"")),D7)</f>
        <v>マーケットスピード II にログインして「接続中」の状態に変更してから利用してください。</v>
      </c>
      <c r="F7" t="str">
        <f>_xll.RssFOPMarket($E7,F$1)</f>
        <v/>
      </c>
      <c r="G7" t="str">
        <f>_xll.RssFOPMarket($E7,G$1)</f>
        <v/>
      </c>
      <c r="H7" t="str">
        <f>_xll.RssFOPMarket($E7,H$1)</f>
        <v/>
      </c>
      <c r="I7" t="str">
        <f>_xll.RssFOPMarket($E7,I$1)</f>
        <v/>
      </c>
      <c r="J7" t="str">
        <f>_xll.RssFOPMarket($E7,J$1)</f>
        <v/>
      </c>
      <c r="K7" t="str">
        <f>_xll.RssFOPMarket($E7,K$1)</f>
        <v/>
      </c>
      <c r="L7" t="str">
        <f>_xll.RssFOPMarket($E7,L$1)</f>
        <v/>
      </c>
      <c r="M7" t="str">
        <f>_xll.RssFOPMarket($E7,M$1)</f>
        <v/>
      </c>
      <c r="N7" t="str">
        <f>_xll.RssFOPMarket($E7,N$1)</f>
        <v/>
      </c>
      <c r="O7" t="str">
        <f>_xll.RssFOPMarket($E7,O$1)</f>
        <v/>
      </c>
      <c r="P7" t="str">
        <f>_xll.RssFOPMarket($E7,P$1)</f>
        <v/>
      </c>
      <c r="Q7" t="str">
        <f>_xll.RssFOPMarket($E7,Q$1)</f>
        <v/>
      </c>
    </row>
    <row r="8" spans="1:17" x14ac:dyDescent="0.4">
      <c r="A8" t="str">
        <f t="shared" si="0"/>
        <v>N225MOP</v>
      </c>
      <c r="B8" t="str">
        <f t="shared" si="0"/>
        <v>202311#1</v>
      </c>
      <c r="C8" t="str">
        <f t="shared" si="0"/>
        <v>C</v>
      </c>
      <c r="D8">
        <f t="shared" si="1"/>
        <v>35750</v>
      </c>
      <c r="E8" t="str">
        <f>_xll.RssFOPCode(A8,B8,IF(C8="C",1,IF(C8="P",2,"")),D8)</f>
        <v>マーケットスピード II にログインして「接続中」の状態に変更してから利用してください。</v>
      </c>
      <c r="F8" t="str">
        <f>_xll.RssFOPMarket($E8,F$1)</f>
        <v/>
      </c>
      <c r="G8" t="str">
        <f>_xll.RssFOPMarket($E8,G$1)</f>
        <v/>
      </c>
      <c r="H8" t="str">
        <f>_xll.RssFOPMarket($E8,H$1)</f>
        <v/>
      </c>
      <c r="I8" t="str">
        <f>_xll.RssFOPMarket($E8,I$1)</f>
        <v/>
      </c>
      <c r="J8" t="str">
        <f>_xll.RssFOPMarket($E8,J$1)</f>
        <v/>
      </c>
      <c r="K8" t="str">
        <f>_xll.RssFOPMarket($E8,K$1)</f>
        <v/>
      </c>
      <c r="L8" t="str">
        <f>_xll.RssFOPMarket($E8,L$1)</f>
        <v/>
      </c>
      <c r="M8" t="str">
        <f>_xll.RssFOPMarket($E8,M$1)</f>
        <v/>
      </c>
      <c r="N8" t="str">
        <f>_xll.RssFOPMarket($E8,N$1)</f>
        <v/>
      </c>
      <c r="O8" t="str">
        <f>_xll.RssFOPMarket($E8,O$1)</f>
        <v/>
      </c>
      <c r="P8" t="str">
        <f>_xll.RssFOPMarket($E8,P$1)</f>
        <v/>
      </c>
      <c r="Q8" t="str">
        <f>_xll.RssFOPMarket($E8,Q$1)</f>
        <v/>
      </c>
    </row>
    <row r="9" spans="1:17" x14ac:dyDescent="0.4">
      <c r="A9" t="str">
        <f t="shared" si="0"/>
        <v>N225MOP</v>
      </c>
      <c r="B9" t="str">
        <f t="shared" si="0"/>
        <v>202311#1</v>
      </c>
      <c r="C9" t="str">
        <f t="shared" si="0"/>
        <v>C</v>
      </c>
      <c r="D9">
        <f t="shared" si="1"/>
        <v>35625</v>
      </c>
      <c r="E9" t="str">
        <f>_xll.RssFOPCode(A9,B9,IF(C9="C",1,IF(C9="P",2,"")),D9)</f>
        <v>マーケットスピード II にログインして「接続中」の状態に変更してから利用してください。</v>
      </c>
      <c r="F9" t="str">
        <f>_xll.RssFOPMarket($E9,F$1)</f>
        <v/>
      </c>
      <c r="G9" t="str">
        <f>_xll.RssFOPMarket($E9,G$1)</f>
        <v/>
      </c>
      <c r="H9" t="str">
        <f>_xll.RssFOPMarket($E9,H$1)</f>
        <v/>
      </c>
      <c r="I9" t="str">
        <f>_xll.RssFOPMarket($E9,I$1)</f>
        <v/>
      </c>
      <c r="J9" t="str">
        <f>_xll.RssFOPMarket($E9,J$1)</f>
        <v/>
      </c>
      <c r="K9" t="str">
        <f>_xll.RssFOPMarket($E9,K$1)</f>
        <v/>
      </c>
      <c r="L9" t="str">
        <f>_xll.RssFOPMarket($E9,L$1)</f>
        <v/>
      </c>
      <c r="M9" t="str">
        <f>_xll.RssFOPMarket($E9,M$1)</f>
        <v/>
      </c>
      <c r="N9" t="str">
        <f>_xll.RssFOPMarket($E9,N$1)</f>
        <v/>
      </c>
      <c r="O9" t="str">
        <f>_xll.RssFOPMarket($E9,O$1)</f>
        <v/>
      </c>
      <c r="P9" t="str">
        <f>_xll.RssFOPMarket($E9,P$1)</f>
        <v/>
      </c>
      <c r="Q9" t="str">
        <f>_xll.RssFOPMarket($E9,Q$1)</f>
        <v/>
      </c>
    </row>
    <row r="10" spans="1:17" x14ac:dyDescent="0.4">
      <c r="A10" t="str">
        <f t="shared" si="0"/>
        <v>N225MOP</v>
      </c>
      <c r="B10" t="str">
        <f t="shared" si="0"/>
        <v>202311#1</v>
      </c>
      <c r="C10" t="str">
        <f t="shared" si="0"/>
        <v>C</v>
      </c>
      <c r="D10">
        <f t="shared" si="1"/>
        <v>35500</v>
      </c>
      <c r="E10" t="str">
        <f>_xll.RssFOPCode(A10,B10,IF(C10="C",1,IF(C10="P",2,"")),D10)</f>
        <v>マーケットスピード II にログインして「接続中」の状態に変更してから利用してください。</v>
      </c>
      <c r="F10" t="str">
        <f>_xll.RssFOPMarket($E10,F$1)</f>
        <v/>
      </c>
      <c r="G10" t="str">
        <f>_xll.RssFOPMarket($E10,G$1)</f>
        <v/>
      </c>
      <c r="H10" t="str">
        <f>_xll.RssFOPMarket($E10,H$1)</f>
        <v/>
      </c>
      <c r="I10" t="str">
        <f>_xll.RssFOPMarket($E10,I$1)</f>
        <v/>
      </c>
      <c r="J10" t="str">
        <f>_xll.RssFOPMarket($E10,J$1)</f>
        <v/>
      </c>
      <c r="K10" t="str">
        <f>_xll.RssFOPMarket($E10,K$1)</f>
        <v/>
      </c>
      <c r="L10" t="str">
        <f>_xll.RssFOPMarket($E10,L$1)</f>
        <v/>
      </c>
      <c r="M10" t="str">
        <f>_xll.RssFOPMarket($E10,M$1)</f>
        <v/>
      </c>
      <c r="N10" t="str">
        <f>_xll.RssFOPMarket($E10,N$1)</f>
        <v/>
      </c>
      <c r="O10" t="str">
        <f>_xll.RssFOPMarket($E10,O$1)</f>
        <v/>
      </c>
      <c r="P10" t="str">
        <f>_xll.RssFOPMarket($E10,P$1)</f>
        <v/>
      </c>
      <c r="Q10" t="str">
        <f>_xll.RssFOPMarket($E10,Q$1)</f>
        <v/>
      </c>
    </row>
    <row r="11" spans="1:17" x14ac:dyDescent="0.4">
      <c r="A11" t="str">
        <f t="shared" si="0"/>
        <v>N225MOP</v>
      </c>
      <c r="B11" t="str">
        <f t="shared" si="0"/>
        <v>202311#1</v>
      </c>
      <c r="C11" t="str">
        <f t="shared" si="0"/>
        <v>C</v>
      </c>
      <c r="D11">
        <f t="shared" si="1"/>
        <v>35375</v>
      </c>
      <c r="E11" t="str">
        <f>_xll.RssFOPCode(A11,B11,IF(C11="C",1,IF(C11="P",2,"")),D11)</f>
        <v>マーケットスピード II にログインして「接続中」の状態に変更してから利用してください。</v>
      </c>
      <c r="F11" t="str">
        <f>_xll.RssFOPMarket($E11,F$1)</f>
        <v/>
      </c>
      <c r="G11" t="str">
        <f>_xll.RssFOPMarket($E11,G$1)</f>
        <v/>
      </c>
      <c r="H11" t="str">
        <f>_xll.RssFOPMarket($E11,H$1)</f>
        <v/>
      </c>
      <c r="I11" t="str">
        <f>_xll.RssFOPMarket($E11,I$1)</f>
        <v/>
      </c>
      <c r="J11" t="str">
        <f>_xll.RssFOPMarket($E11,J$1)</f>
        <v/>
      </c>
      <c r="K11" t="str">
        <f>_xll.RssFOPMarket($E11,K$1)</f>
        <v/>
      </c>
      <c r="L11" t="str">
        <f>_xll.RssFOPMarket($E11,L$1)</f>
        <v/>
      </c>
      <c r="M11" t="str">
        <f>_xll.RssFOPMarket($E11,M$1)</f>
        <v/>
      </c>
      <c r="N11" t="str">
        <f>_xll.RssFOPMarket($E11,N$1)</f>
        <v/>
      </c>
      <c r="O11" t="str">
        <f>_xll.RssFOPMarket($E11,O$1)</f>
        <v/>
      </c>
      <c r="P11" t="str">
        <f>_xll.RssFOPMarket($E11,P$1)</f>
        <v/>
      </c>
      <c r="Q11" t="str">
        <f>_xll.RssFOPMarket($E11,Q$1)</f>
        <v/>
      </c>
    </row>
    <row r="12" spans="1:17" x14ac:dyDescent="0.4">
      <c r="A12" t="str">
        <f t="shared" si="0"/>
        <v>N225MOP</v>
      </c>
      <c r="B12" t="str">
        <f t="shared" si="0"/>
        <v>202311#1</v>
      </c>
      <c r="C12" t="str">
        <f t="shared" si="0"/>
        <v>C</v>
      </c>
      <c r="D12">
        <f t="shared" si="1"/>
        <v>35250</v>
      </c>
      <c r="E12" t="str">
        <f>_xll.RssFOPCode(A12,B12,IF(C12="C",1,IF(C12="P",2,"")),D12)</f>
        <v>マーケットスピード II にログインして「接続中」の状態に変更してから利用してください。</v>
      </c>
      <c r="F12" t="str">
        <f>_xll.RssFOPMarket($E12,F$1)</f>
        <v/>
      </c>
      <c r="G12" t="str">
        <f>_xll.RssFOPMarket($E12,G$1)</f>
        <v/>
      </c>
      <c r="H12" t="str">
        <f>_xll.RssFOPMarket($E12,H$1)</f>
        <v/>
      </c>
      <c r="I12" t="str">
        <f>_xll.RssFOPMarket($E12,I$1)</f>
        <v/>
      </c>
      <c r="J12" t="str">
        <f>_xll.RssFOPMarket($E12,J$1)</f>
        <v/>
      </c>
      <c r="K12" t="str">
        <f>_xll.RssFOPMarket($E12,K$1)</f>
        <v/>
      </c>
      <c r="L12" t="str">
        <f>_xll.RssFOPMarket($E12,L$1)</f>
        <v/>
      </c>
      <c r="M12" t="str">
        <f>_xll.RssFOPMarket($E12,M$1)</f>
        <v/>
      </c>
      <c r="N12" t="str">
        <f>_xll.RssFOPMarket($E12,N$1)</f>
        <v/>
      </c>
      <c r="O12" t="str">
        <f>_xll.RssFOPMarket($E12,O$1)</f>
        <v/>
      </c>
      <c r="P12" t="str">
        <f>_xll.RssFOPMarket($E12,P$1)</f>
        <v/>
      </c>
      <c r="Q12" t="str">
        <f>_xll.RssFOPMarket($E12,Q$1)</f>
        <v/>
      </c>
    </row>
    <row r="13" spans="1:17" x14ac:dyDescent="0.4">
      <c r="A13" t="str">
        <f t="shared" si="0"/>
        <v>N225MOP</v>
      </c>
      <c r="B13" t="str">
        <f t="shared" si="0"/>
        <v>202311#1</v>
      </c>
      <c r="C13" t="str">
        <f t="shared" si="0"/>
        <v>C</v>
      </c>
      <c r="D13">
        <f t="shared" si="1"/>
        <v>35125</v>
      </c>
      <c r="E13" t="str">
        <f>_xll.RssFOPCode(A13,B13,IF(C13="C",1,IF(C13="P",2,"")),D13)</f>
        <v>マーケットスピード II にログインして「接続中」の状態に変更してから利用してください。</v>
      </c>
      <c r="F13" t="str">
        <f>_xll.RssFOPMarket($E13,F$1)</f>
        <v/>
      </c>
      <c r="G13" t="str">
        <f>_xll.RssFOPMarket($E13,G$1)</f>
        <v/>
      </c>
      <c r="H13" t="str">
        <f>_xll.RssFOPMarket($E13,H$1)</f>
        <v/>
      </c>
      <c r="I13" t="str">
        <f>_xll.RssFOPMarket($E13,I$1)</f>
        <v/>
      </c>
      <c r="J13" t="str">
        <f>_xll.RssFOPMarket($E13,J$1)</f>
        <v/>
      </c>
      <c r="K13" t="str">
        <f>_xll.RssFOPMarket($E13,K$1)</f>
        <v/>
      </c>
      <c r="L13" t="str">
        <f>_xll.RssFOPMarket($E13,L$1)</f>
        <v/>
      </c>
      <c r="M13" t="str">
        <f>_xll.RssFOPMarket($E13,M$1)</f>
        <v/>
      </c>
      <c r="N13" t="str">
        <f>_xll.RssFOPMarket($E13,N$1)</f>
        <v/>
      </c>
      <c r="O13" t="str">
        <f>_xll.RssFOPMarket($E13,O$1)</f>
        <v/>
      </c>
      <c r="P13" t="str">
        <f>_xll.RssFOPMarket($E13,P$1)</f>
        <v/>
      </c>
      <c r="Q13" t="str">
        <f>_xll.RssFOPMarket($E13,Q$1)</f>
        <v/>
      </c>
    </row>
    <row r="14" spans="1:17" x14ac:dyDescent="0.4">
      <c r="A14" t="str">
        <f t="shared" si="0"/>
        <v>N225MOP</v>
      </c>
      <c r="B14" t="str">
        <f t="shared" si="0"/>
        <v>202311#1</v>
      </c>
      <c r="C14" t="str">
        <f t="shared" si="0"/>
        <v>C</v>
      </c>
      <c r="D14">
        <f t="shared" si="1"/>
        <v>35000</v>
      </c>
      <c r="E14" t="str">
        <f>_xll.RssFOPCode(A14,B14,IF(C14="C",1,IF(C14="P",2,"")),D14)</f>
        <v>マーケットスピード II にログインして「接続中」の状態に変更してから利用してください。</v>
      </c>
      <c r="F14" t="str">
        <f>_xll.RssFOPMarket($E14,F$1)</f>
        <v/>
      </c>
      <c r="G14" t="str">
        <f>_xll.RssFOPMarket($E14,G$1)</f>
        <v/>
      </c>
      <c r="H14" t="str">
        <f>_xll.RssFOPMarket($E14,H$1)</f>
        <v/>
      </c>
      <c r="I14" t="str">
        <f>_xll.RssFOPMarket($E14,I$1)</f>
        <v/>
      </c>
      <c r="J14" t="str">
        <f>_xll.RssFOPMarket($E14,J$1)</f>
        <v/>
      </c>
      <c r="K14" t="str">
        <f>_xll.RssFOPMarket($E14,K$1)</f>
        <v/>
      </c>
      <c r="L14" t="str">
        <f>_xll.RssFOPMarket($E14,L$1)</f>
        <v/>
      </c>
      <c r="M14" t="str">
        <f>_xll.RssFOPMarket($E14,M$1)</f>
        <v/>
      </c>
      <c r="N14" t="str">
        <f>_xll.RssFOPMarket($E14,N$1)</f>
        <v/>
      </c>
      <c r="O14" t="str">
        <f>_xll.RssFOPMarket($E14,O$1)</f>
        <v/>
      </c>
      <c r="P14" t="str">
        <f>_xll.RssFOPMarket($E14,P$1)</f>
        <v/>
      </c>
      <c r="Q14" t="str">
        <f>_xll.RssFOPMarket($E14,Q$1)</f>
        <v/>
      </c>
    </row>
    <row r="15" spans="1:17" x14ac:dyDescent="0.4">
      <c r="A15" t="str">
        <f t="shared" si="0"/>
        <v>N225MOP</v>
      </c>
      <c r="B15" t="str">
        <f t="shared" si="0"/>
        <v>202311#1</v>
      </c>
      <c r="C15" t="str">
        <f t="shared" si="0"/>
        <v>C</v>
      </c>
      <c r="D15">
        <f t="shared" si="1"/>
        <v>34875</v>
      </c>
      <c r="E15" t="str">
        <f>_xll.RssFOPCode(A15,B15,IF(C15="C",1,IF(C15="P",2,"")),D15)</f>
        <v>マーケットスピード II にログインして「接続中」の状態に変更してから利用してください。</v>
      </c>
      <c r="F15" t="str">
        <f>_xll.RssFOPMarket($E15,F$1)</f>
        <v/>
      </c>
      <c r="G15" t="str">
        <f>_xll.RssFOPMarket($E15,G$1)</f>
        <v/>
      </c>
      <c r="H15" t="str">
        <f>_xll.RssFOPMarket($E15,H$1)</f>
        <v/>
      </c>
      <c r="I15" t="str">
        <f>_xll.RssFOPMarket($E15,I$1)</f>
        <v/>
      </c>
      <c r="J15" t="str">
        <f>_xll.RssFOPMarket($E15,J$1)</f>
        <v/>
      </c>
      <c r="K15" t="str">
        <f>_xll.RssFOPMarket($E15,K$1)</f>
        <v/>
      </c>
      <c r="L15" t="str">
        <f>_xll.RssFOPMarket($E15,L$1)</f>
        <v/>
      </c>
      <c r="M15" t="str">
        <f>_xll.RssFOPMarket($E15,M$1)</f>
        <v/>
      </c>
      <c r="N15" t="str">
        <f>_xll.RssFOPMarket($E15,N$1)</f>
        <v/>
      </c>
      <c r="O15" t="str">
        <f>_xll.RssFOPMarket($E15,O$1)</f>
        <v/>
      </c>
      <c r="P15" t="str">
        <f>_xll.RssFOPMarket($E15,P$1)</f>
        <v/>
      </c>
      <c r="Q15" t="str">
        <f>_xll.RssFOPMarket($E15,Q$1)</f>
        <v/>
      </c>
    </row>
    <row r="16" spans="1:17" x14ac:dyDescent="0.4">
      <c r="A16" t="str">
        <f t="shared" si="0"/>
        <v>N225MOP</v>
      </c>
      <c r="B16" t="str">
        <f t="shared" si="0"/>
        <v>202311#1</v>
      </c>
      <c r="C16" t="str">
        <f t="shared" si="0"/>
        <v>C</v>
      </c>
      <c r="D16">
        <f t="shared" si="1"/>
        <v>34750</v>
      </c>
      <c r="E16" t="str">
        <f>_xll.RssFOPCode(A16,B16,IF(C16="C",1,IF(C16="P",2,"")),D16)</f>
        <v>マーケットスピード II にログインして「接続中」の状態に変更してから利用してください。</v>
      </c>
      <c r="F16" t="str">
        <f>_xll.RssFOPMarket($E16,F$1)</f>
        <v/>
      </c>
      <c r="G16" t="str">
        <f>_xll.RssFOPMarket($E16,G$1)</f>
        <v/>
      </c>
      <c r="H16" t="str">
        <f>_xll.RssFOPMarket($E16,H$1)</f>
        <v/>
      </c>
      <c r="I16" t="str">
        <f>_xll.RssFOPMarket($E16,I$1)</f>
        <v/>
      </c>
      <c r="J16" t="str">
        <f>_xll.RssFOPMarket($E16,J$1)</f>
        <v/>
      </c>
      <c r="K16" t="str">
        <f>_xll.RssFOPMarket($E16,K$1)</f>
        <v/>
      </c>
      <c r="L16" t="str">
        <f>_xll.RssFOPMarket($E16,L$1)</f>
        <v/>
      </c>
      <c r="M16" t="str">
        <f>_xll.RssFOPMarket($E16,M$1)</f>
        <v/>
      </c>
      <c r="N16" t="str">
        <f>_xll.RssFOPMarket($E16,N$1)</f>
        <v/>
      </c>
      <c r="O16" t="str">
        <f>_xll.RssFOPMarket($E16,O$1)</f>
        <v/>
      </c>
      <c r="P16" t="str">
        <f>_xll.RssFOPMarket($E16,P$1)</f>
        <v/>
      </c>
      <c r="Q16" t="str">
        <f>_xll.RssFOPMarket($E16,Q$1)</f>
        <v/>
      </c>
    </row>
    <row r="17" spans="1:17" x14ac:dyDescent="0.4">
      <c r="A17" t="str">
        <f t="shared" si="0"/>
        <v>N225MOP</v>
      </c>
      <c r="B17" t="str">
        <f t="shared" si="0"/>
        <v>202311#1</v>
      </c>
      <c r="C17" t="str">
        <f t="shared" si="0"/>
        <v>C</v>
      </c>
      <c r="D17">
        <f t="shared" si="1"/>
        <v>34625</v>
      </c>
      <c r="E17" t="str">
        <f>_xll.RssFOPCode(A17,B17,IF(C17="C",1,IF(C17="P",2,"")),D17)</f>
        <v>マーケットスピード II にログインして「接続中」の状態に変更してから利用してください。</v>
      </c>
      <c r="F17" t="str">
        <f>_xll.RssFOPMarket($E17,F$1)</f>
        <v/>
      </c>
      <c r="G17" t="str">
        <f>_xll.RssFOPMarket($E17,G$1)</f>
        <v/>
      </c>
      <c r="H17" t="str">
        <f>_xll.RssFOPMarket($E17,H$1)</f>
        <v/>
      </c>
      <c r="I17" t="str">
        <f>_xll.RssFOPMarket($E17,I$1)</f>
        <v/>
      </c>
      <c r="J17" t="str">
        <f>_xll.RssFOPMarket($E17,J$1)</f>
        <v/>
      </c>
      <c r="K17" t="str">
        <f>_xll.RssFOPMarket($E17,K$1)</f>
        <v/>
      </c>
      <c r="L17" t="str">
        <f>_xll.RssFOPMarket($E17,L$1)</f>
        <v/>
      </c>
      <c r="M17" t="str">
        <f>_xll.RssFOPMarket($E17,M$1)</f>
        <v/>
      </c>
      <c r="N17" t="str">
        <f>_xll.RssFOPMarket($E17,N$1)</f>
        <v/>
      </c>
      <c r="O17" t="str">
        <f>_xll.RssFOPMarket($E17,O$1)</f>
        <v/>
      </c>
      <c r="P17" t="str">
        <f>_xll.RssFOPMarket($E17,P$1)</f>
        <v/>
      </c>
      <c r="Q17" t="str">
        <f>_xll.RssFOPMarket($E17,Q$1)</f>
        <v/>
      </c>
    </row>
    <row r="18" spans="1:17" x14ac:dyDescent="0.4">
      <c r="A18" t="str">
        <f t="shared" si="0"/>
        <v>N225MOP</v>
      </c>
      <c r="B18" t="str">
        <f t="shared" si="0"/>
        <v>202311#1</v>
      </c>
      <c r="C18" t="str">
        <f t="shared" si="0"/>
        <v>C</v>
      </c>
      <c r="D18">
        <f t="shared" si="1"/>
        <v>34500</v>
      </c>
      <c r="E18" t="str">
        <f>_xll.RssFOPCode(A18,B18,IF(C18="C",1,IF(C18="P",2,"")),D18)</f>
        <v>マーケットスピード II にログインして「接続中」の状態に変更してから利用してください。</v>
      </c>
      <c r="F18" t="str">
        <f>_xll.RssFOPMarket($E18,F$1)</f>
        <v/>
      </c>
      <c r="G18" t="str">
        <f>_xll.RssFOPMarket($E18,G$1)</f>
        <v/>
      </c>
      <c r="H18" t="str">
        <f>_xll.RssFOPMarket($E18,H$1)</f>
        <v/>
      </c>
      <c r="I18" t="str">
        <f>_xll.RssFOPMarket($E18,I$1)</f>
        <v/>
      </c>
      <c r="J18" t="str">
        <f>_xll.RssFOPMarket($E18,J$1)</f>
        <v/>
      </c>
      <c r="K18" t="str">
        <f>_xll.RssFOPMarket($E18,K$1)</f>
        <v/>
      </c>
      <c r="L18" t="str">
        <f>_xll.RssFOPMarket($E18,L$1)</f>
        <v/>
      </c>
      <c r="M18" t="str">
        <f>_xll.RssFOPMarket($E18,M$1)</f>
        <v/>
      </c>
      <c r="N18" t="str">
        <f>_xll.RssFOPMarket($E18,N$1)</f>
        <v/>
      </c>
      <c r="O18" t="str">
        <f>_xll.RssFOPMarket($E18,O$1)</f>
        <v/>
      </c>
      <c r="P18" t="str">
        <f>_xll.RssFOPMarket($E18,P$1)</f>
        <v/>
      </c>
      <c r="Q18" t="str">
        <f>_xll.RssFOPMarket($E18,Q$1)</f>
        <v/>
      </c>
    </row>
    <row r="19" spans="1:17" x14ac:dyDescent="0.4">
      <c r="A19" t="str">
        <f t="shared" si="0"/>
        <v>N225MOP</v>
      </c>
      <c r="B19" t="str">
        <f t="shared" si="0"/>
        <v>202311#1</v>
      </c>
      <c r="C19" t="str">
        <f t="shared" si="0"/>
        <v>C</v>
      </c>
      <c r="D19">
        <f t="shared" si="1"/>
        <v>34375</v>
      </c>
      <c r="E19" t="str">
        <f>_xll.RssFOPCode(A19,B19,IF(C19="C",1,IF(C19="P",2,"")),D19)</f>
        <v>マーケットスピード II にログインして「接続中」の状態に変更してから利用してください。</v>
      </c>
      <c r="F19" t="str">
        <f>_xll.RssFOPMarket($E19,F$1)</f>
        <v/>
      </c>
      <c r="G19" t="str">
        <f>_xll.RssFOPMarket($E19,G$1)</f>
        <v/>
      </c>
      <c r="H19" t="str">
        <f>_xll.RssFOPMarket($E19,H$1)</f>
        <v/>
      </c>
      <c r="I19" t="str">
        <f>_xll.RssFOPMarket($E19,I$1)</f>
        <v/>
      </c>
      <c r="J19" t="str">
        <f>_xll.RssFOPMarket($E19,J$1)</f>
        <v/>
      </c>
      <c r="K19" t="str">
        <f>_xll.RssFOPMarket($E19,K$1)</f>
        <v/>
      </c>
      <c r="L19" t="str">
        <f>_xll.RssFOPMarket($E19,L$1)</f>
        <v/>
      </c>
      <c r="M19" t="str">
        <f>_xll.RssFOPMarket($E19,M$1)</f>
        <v/>
      </c>
      <c r="N19" t="str">
        <f>_xll.RssFOPMarket($E19,N$1)</f>
        <v/>
      </c>
      <c r="O19" t="str">
        <f>_xll.RssFOPMarket($E19,O$1)</f>
        <v/>
      </c>
      <c r="P19" t="str">
        <f>_xll.RssFOPMarket($E19,P$1)</f>
        <v/>
      </c>
      <c r="Q19" t="str">
        <f>_xll.RssFOPMarket($E19,Q$1)</f>
        <v/>
      </c>
    </row>
    <row r="20" spans="1:17" x14ac:dyDescent="0.4">
      <c r="A20" t="str">
        <f t="shared" si="0"/>
        <v>N225MOP</v>
      </c>
      <c r="B20" t="str">
        <f t="shared" si="0"/>
        <v>202311#1</v>
      </c>
      <c r="C20" t="str">
        <f t="shared" si="0"/>
        <v>C</v>
      </c>
      <c r="D20">
        <f t="shared" si="1"/>
        <v>34250</v>
      </c>
      <c r="E20" t="str">
        <f>_xll.RssFOPCode(A20,B20,IF(C20="C",1,IF(C20="P",2,"")),D20)</f>
        <v>マーケットスピード II にログインして「接続中」の状態に変更してから利用してください。</v>
      </c>
      <c r="F20" t="str">
        <f>_xll.RssFOPMarket($E20,F$1)</f>
        <v/>
      </c>
      <c r="G20" t="str">
        <f>_xll.RssFOPMarket($E20,G$1)</f>
        <v/>
      </c>
      <c r="H20" t="str">
        <f>_xll.RssFOPMarket($E20,H$1)</f>
        <v/>
      </c>
      <c r="I20" t="str">
        <f>_xll.RssFOPMarket($E20,I$1)</f>
        <v/>
      </c>
      <c r="J20" t="str">
        <f>_xll.RssFOPMarket($E20,J$1)</f>
        <v/>
      </c>
      <c r="K20" t="str">
        <f>_xll.RssFOPMarket($E20,K$1)</f>
        <v/>
      </c>
      <c r="L20" t="str">
        <f>_xll.RssFOPMarket($E20,L$1)</f>
        <v/>
      </c>
      <c r="M20" t="str">
        <f>_xll.RssFOPMarket($E20,M$1)</f>
        <v/>
      </c>
      <c r="N20" t="str">
        <f>_xll.RssFOPMarket($E20,N$1)</f>
        <v/>
      </c>
      <c r="O20" t="str">
        <f>_xll.RssFOPMarket($E20,O$1)</f>
        <v/>
      </c>
      <c r="P20" t="str">
        <f>_xll.RssFOPMarket($E20,P$1)</f>
        <v/>
      </c>
      <c r="Q20" t="str">
        <f>_xll.RssFOPMarket($E20,Q$1)</f>
        <v/>
      </c>
    </row>
    <row r="21" spans="1:17" x14ac:dyDescent="0.4">
      <c r="A21" t="str">
        <f t="shared" si="0"/>
        <v>N225MOP</v>
      </c>
      <c r="B21" t="str">
        <f t="shared" si="0"/>
        <v>202311#1</v>
      </c>
      <c r="C21" t="str">
        <f t="shared" si="0"/>
        <v>C</v>
      </c>
      <c r="D21">
        <f t="shared" si="1"/>
        <v>34125</v>
      </c>
      <c r="E21" t="str">
        <f>_xll.RssFOPCode(A21,B21,IF(C21="C",1,IF(C21="P",2,"")),D21)</f>
        <v>マーケットスピード II にログインして「接続中」の状態に変更してから利用してください。</v>
      </c>
      <c r="F21" t="str">
        <f>_xll.RssFOPMarket($E21,F$1)</f>
        <v/>
      </c>
      <c r="G21" t="str">
        <f>_xll.RssFOPMarket($E21,G$1)</f>
        <v/>
      </c>
      <c r="H21" t="str">
        <f>_xll.RssFOPMarket($E21,H$1)</f>
        <v/>
      </c>
      <c r="I21" t="str">
        <f>_xll.RssFOPMarket($E21,I$1)</f>
        <v/>
      </c>
      <c r="J21" t="str">
        <f>_xll.RssFOPMarket($E21,J$1)</f>
        <v/>
      </c>
      <c r="K21" t="str">
        <f>_xll.RssFOPMarket($E21,K$1)</f>
        <v/>
      </c>
      <c r="L21" t="str">
        <f>_xll.RssFOPMarket($E21,L$1)</f>
        <v/>
      </c>
      <c r="M21" t="str">
        <f>_xll.RssFOPMarket($E21,M$1)</f>
        <v/>
      </c>
      <c r="N21" t="str">
        <f>_xll.RssFOPMarket($E21,N$1)</f>
        <v/>
      </c>
      <c r="O21" t="str">
        <f>_xll.RssFOPMarket($E21,O$1)</f>
        <v/>
      </c>
      <c r="P21" t="str">
        <f>_xll.RssFOPMarket($E21,P$1)</f>
        <v/>
      </c>
      <c r="Q21" t="str">
        <f>_xll.RssFOPMarket($E21,Q$1)</f>
        <v/>
      </c>
    </row>
    <row r="22" spans="1:17" x14ac:dyDescent="0.4">
      <c r="A22" t="str">
        <f t="shared" si="0"/>
        <v>N225MOP</v>
      </c>
      <c r="B22" t="str">
        <f t="shared" si="0"/>
        <v>202311#1</v>
      </c>
      <c r="C22" t="str">
        <f t="shared" si="0"/>
        <v>C</v>
      </c>
      <c r="D22">
        <f t="shared" si="1"/>
        <v>34000</v>
      </c>
      <c r="E22" t="str">
        <f>_xll.RssFOPCode(A22,B22,IF(C22="C",1,IF(C22="P",2,"")),D22)</f>
        <v>マーケットスピード II にログインして「接続中」の状態に変更してから利用してください。</v>
      </c>
      <c r="F22" t="str">
        <f>_xll.RssFOPMarket($E22,F$1)</f>
        <v/>
      </c>
      <c r="G22" t="str">
        <f>_xll.RssFOPMarket($E22,G$1)</f>
        <v/>
      </c>
      <c r="H22" t="str">
        <f>_xll.RssFOPMarket($E22,H$1)</f>
        <v/>
      </c>
      <c r="I22" t="str">
        <f>_xll.RssFOPMarket($E22,I$1)</f>
        <v/>
      </c>
      <c r="J22" t="str">
        <f>_xll.RssFOPMarket($E22,J$1)</f>
        <v/>
      </c>
      <c r="K22" t="str">
        <f>_xll.RssFOPMarket($E22,K$1)</f>
        <v/>
      </c>
      <c r="L22" t="str">
        <f>_xll.RssFOPMarket($E22,L$1)</f>
        <v/>
      </c>
      <c r="M22" t="str">
        <f>_xll.RssFOPMarket($E22,M$1)</f>
        <v/>
      </c>
      <c r="N22" t="str">
        <f>_xll.RssFOPMarket($E22,N$1)</f>
        <v/>
      </c>
      <c r="O22" t="str">
        <f>_xll.RssFOPMarket($E22,O$1)</f>
        <v/>
      </c>
      <c r="P22" t="str">
        <f>_xll.RssFOPMarket($E22,P$1)</f>
        <v/>
      </c>
      <c r="Q22" t="str">
        <f>_xll.RssFOPMarket($E22,Q$1)</f>
        <v/>
      </c>
    </row>
    <row r="23" spans="1:17" x14ac:dyDescent="0.4">
      <c r="A23" t="str">
        <f t="shared" si="0"/>
        <v>N225MOP</v>
      </c>
      <c r="B23" t="str">
        <f t="shared" si="0"/>
        <v>202311#1</v>
      </c>
      <c r="C23" t="str">
        <f t="shared" si="0"/>
        <v>C</v>
      </c>
      <c r="D23">
        <f t="shared" si="1"/>
        <v>33875</v>
      </c>
      <c r="E23" t="str">
        <f>_xll.RssFOPCode(A23,B23,IF(C23="C",1,IF(C23="P",2,"")),D23)</f>
        <v>マーケットスピード II にログインして「接続中」の状態に変更してから利用してください。</v>
      </c>
      <c r="F23" t="str">
        <f>_xll.RssFOPMarket($E23,F$1)</f>
        <v/>
      </c>
      <c r="G23" t="str">
        <f>_xll.RssFOPMarket($E23,G$1)</f>
        <v/>
      </c>
      <c r="H23" t="str">
        <f>_xll.RssFOPMarket($E23,H$1)</f>
        <v/>
      </c>
      <c r="I23" t="str">
        <f>_xll.RssFOPMarket($E23,I$1)</f>
        <v/>
      </c>
      <c r="J23" t="str">
        <f>_xll.RssFOPMarket($E23,J$1)</f>
        <v/>
      </c>
      <c r="K23" t="str">
        <f>_xll.RssFOPMarket($E23,K$1)</f>
        <v/>
      </c>
      <c r="L23" t="str">
        <f>_xll.RssFOPMarket($E23,L$1)</f>
        <v/>
      </c>
      <c r="M23" t="str">
        <f>_xll.RssFOPMarket($E23,M$1)</f>
        <v/>
      </c>
      <c r="N23" t="str">
        <f>_xll.RssFOPMarket($E23,N$1)</f>
        <v/>
      </c>
      <c r="O23" t="str">
        <f>_xll.RssFOPMarket($E23,O$1)</f>
        <v/>
      </c>
      <c r="P23" t="str">
        <f>_xll.RssFOPMarket($E23,P$1)</f>
        <v/>
      </c>
      <c r="Q23" t="str">
        <f>_xll.RssFOPMarket($E23,Q$1)</f>
        <v/>
      </c>
    </row>
    <row r="24" spans="1:17" x14ac:dyDescent="0.4">
      <c r="A24" t="str">
        <f t="shared" si="0"/>
        <v>N225MOP</v>
      </c>
      <c r="B24" t="str">
        <f t="shared" si="0"/>
        <v>202311#1</v>
      </c>
      <c r="C24" t="str">
        <f t="shared" si="0"/>
        <v>C</v>
      </c>
      <c r="D24">
        <f t="shared" si="1"/>
        <v>33750</v>
      </c>
      <c r="E24" t="str">
        <f>_xll.RssFOPCode(A24,B24,IF(C24="C",1,IF(C24="P",2,"")),D24)</f>
        <v>マーケットスピード II にログインして「接続中」の状態に変更してから利用してください。</v>
      </c>
      <c r="F24" t="str">
        <f>_xll.RssFOPMarket($E24,F$1)</f>
        <v/>
      </c>
      <c r="G24" t="str">
        <f>_xll.RssFOPMarket($E24,G$1)</f>
        <v/>
      </c>
      <c r="H24" t="str">
        <f>_xll.RssFOPMarket($E24,H$1)</f>
        <v/>
      </c>
      <c r="I24" t="str">
        <f>_xll.RssFOPMarket($E24,I$1)</f>
        <v/>
      </c>
      <c r="J24" t="str">
        <f>_xll.RssFOPMarket($E24,J$1)</f>
        <v/>
      </c>
      <c r="K24" t="str">
        <f>_xll.RssFOPMarket($E24,K$1)</f>
        <v/>
      </c>
      <c r="L24" t="str">
        <f>_xll.RssFOPMarket($E24,L$1)</f>
        <v/>
      </c>
      <c r="M24" t="str">
        <f>_xll.RssFOPMarket($E24,M$1)</f>
        <v/>
      </c>
      <c r="N24" t="str">
        <f>_xll.RssFOPMarket($E24,N$1)</f>
        <v/>
      </c>
      <c r="O24" t="str">
        <f>_xll.RssFOPMarket($E24,O$1)</f>
        <v/>
      </c>
      <c r="P24" t="str">
        <f>_xll.RssFOPMarket($E24,P$1)</f>
        <v/>
      </c>
      <c r="Q24" t="str">
        <f>_xll.RssFOPMarket($E24,Q$1)</f>
        <v/>
      </c>
    </row>
    <row r="25" spans="1:17" x14ac:dyDescent="0.4">
      <c r="A25" t="str">
        <f t="shared" si="0"/>
        <v>N225MOP</v>
      </c>
      <c r="B25" t="str">
        <f t="shared" si="0"/>
        <v>202311#1</v>
      </c>
      <c r="C25" t="str">
        <f t="shared" si="0"/>
        <v>C</v>
      </c>
      <c r="D25">
        <f t="shared" si="1"/>
        <v>33625</v>
      </c>
      <c r="E25" t="str">
        <f>_xll.RssFOPCode(A25,B25,IF(C25="C",1,IF(C25="P",2,"")),D25)</f>
        <v>マーケットスピード II にログインして「接続中」の状態に変更してから利用してください。</v>
      </c>
      <c r="F25" t="str">
        <f>_xll.RssFOPMarket($E25,F$1)</f>
        <v/>
      </c>
      <c r="G25" t="str">
        <f>_xll.RssFOPMarket($E25,G$1)</f>
        <v/>
      </c>
      <c r="H25" t="str">
        <f>_xll.RssFOPMarket($E25,H$1)</f>
        <v/>
      </c>
      <c r="I25" t="str">
        <f>_xll.RssFOPMarket($E25,I$1)</f>
        <v/>
      </c>
      <c r="J25" t="str">
        <f>_xll.RssFOPMarket($E25,J$1)</f>
        <v/>
      </c>
      <c r="K25" t="str">
        <f>_xll.RssFOPMarket($E25,K$1)</f>
        <v/>
      </c>
      <c r="L25" t="str">
        <f>_xll.RssFOPMarket($E25,L$1)</f>
        <v/>
      </c>
      <c r="M25" t="str">
        <f>_xll.RssFOPMarket($E25,M$1)</f>
        <v/>
      </c>
      <c r="N25" t="str">
        <f>_xll.RssFOPMarket($E25,N$1)</f>
        <v/>
      </c>
      <c r="O25" t="str">
        <f>_xll.RssFOPMarket($E25,O$1)</f>
        <v/>
      </c>
      <c r="P25" t="str">
        <f>_xll.RssFOPMarket($E25,P$1)</f>
        <v/>
      </c>
      <c r="Q25" t="str">
        <f>_xll.RssFOPMarket($E25,Q$1)</f>
        <v/>
      </c>
    </row>
    <row r="26" spans="1:17" x14ac:dyDescent="0.4">
      <c r="A26" t="str">
        <f t="shared" si="0"/>
        <v>N225MOP</v>
      </c>
      <c r="B26" t="str">
        <f t="shared" si="0"/>
        <v>202311#1</v>
      </c>
      <c r="C26" t="str">
        <f t="shared" si="0"/>
        <v>C</v>
      </c>
      <c r="D26">
        <f t="shared" si="1"/>
        <v>33500</v>
      </c>
      <c r="E26" t="str">
        <f>_xll.RssFOPCode(A26,B26,IF(C26="C",1,IF(C26="P",2,"")),D26)</f>
        <v>マーケットスピード II にログインして「接続中」の状態に変更してから利用してください。</v>
      </c>
      <c r="F26" t="str">
        <f>_xll.RssFOPMarket($E26,F$1)</f>
        <v/>
      </c>
      <c r="G26" t="str">
        <f>_xll.RssFOPMarket($E26,G$1)</f>
        <v/>
      </c>
      <c r="H26" t="str">
        <f>_xll.RssFOPMarket($E26,H$1)</f>
        <v/>
      </c>
      <c r="I26" t="str">
        <f>_xll.RssFOPMarket($E26,I$1)</f>
        <v/>
      </c>
      <c r="J26" t="str">
        <f>_xll.RssFOPMarket($E26,J$1)</f>
        <v/>
      </c>
      <c r="K26" t="str">
        <f>_xll.RssFOPMarket($E26,K$1)</f>
        <v/>
      </c>
      <c r="L26" t="str">
        <f>_xll.RssFOPMarket($E26,L$1)</f>
        <v/>
      </c>
      <c r="M26" t="str">
        <f>_xll.RssFOPMarket($E26,M$1)</f>
        <v/>
      </c>
      <c r="N26" t="str">
        <f>_xll.RssFOPMarket($E26,N$1)</f>
        <v/>
      </c>
      <c r="O26" t="str">
        <f>_xll.RssFOPMarket($E26,O$1)</f>
        <v/>
      </c>
      <c r="P26" t="str">
        <f>_xll.RssFOPMarket($E26,P$1)</f>
        <v/>
      </c>
      <c r="Q26" t="str">
        <f>_xll.RssFOPMarket($E26,Q$1)</f>
        <v/>
      </c>
    </row>
    <row r="27" spans="1:17" x14ac:dyDescent="0.4">
      <c r="A27" t="str">
        <f t="shared" si="0"/>
        <v>N225MOP</v>
      </c>
      <c r="B27" t="str">
        <f t="shared" si="0"/>
        <v>202311#1</v>
      </c>
      <c r="C27" t="str">
        <f t="shared" si="0"/>
        <v>C</v>
      </c>
      <c r="D27">
        <f t="shared" si="1"/>
        <v>33375</v>
      </c>
      <c r="E27" t="str">
        <f>_xll.RssFOPCode(A27,B27,IF(C27="C",1,IF(C27="P",2,"")),D27)</f>
        <v>マーケットスピード II にログインして「接続中」の状態に変更してから利用してください。</v>
      </c>
      <c r="F27" t="str">
        <f>_xll.RssFOPMarket($E27,F$1)</f>
        <v/>
      </c>
      <c r="G27" t="str">
        <f>_xll.RssFOPMarket($E27,G$1)</f>
        <v/>
      </c>
      <c r="H27" t="str">
        <f>_xll.RssFOPMarket($E27,H$1)</f>
        <v/>
      </c>
      <c r="I27" t="str">
        <f>_xll.RssFOPMarket($E27,I$1)</f>
        <v/>
      </c>
      <c r="J27" t="str">
        <f>_xll.RssFOPMarket($E27,J$1)</f>
        <v/>
      </c>
      <c r="K27" t="str">
        <f>_xll.RssFOPMarket($E27,K$1)</f>
        <v/>
      </c>
      <c r="L27" t="str">
        <f>_xll.RssFOPMarket($E27,L$1)</f>
        <v/>
      </c>
      <c r="M27" t="str">
        <f>_xll.RssFOPMarket($E27,M$1)</f>
        <v/>
      </c>
      <c r="N27" t="str">
        <f>_xll.RssFOPMarket($E27,N$1)</f>
        <v/>
      </c>
      <c r="O27" t="str">
        <f>_xll.RssFOPMarket($E27,O$1)</f>
        <v/>
      </c>
      <c r="P27" t="str">
        <f>_xll.RssFOPMarket($E27,P$1)</f>
        <v/>
      </c>
      <c r="Q27" t="str">
        <f>_xll.RssFOPMarket($E27,Q$1)</f>
        <v/>
      </c>
    </row>
    <row r="28" spans="1:17" x14ac:dyDescent="0.4">
      <c r="A28" t="str">
        <f t="shared" si="0"/>
        <v>N225MOP</v>
      </c>
      <c r="B28" t="str">
        <f t="shared" si="0"/>
        <v>202311#1</v>
      </c>
      <c r="C28" t="str">
        <f t="shared" si="0"/>
        <v>C</v>
      </c>
      <c r="D28">
        <f t="shared" si="1"/>
        <v>33250</v>
      </c>
      <c r="E28" t="str">
        <f>_xll.RssFOPCode(A28,B28,IF(C28="C",1,IF(C28="P",2,"")),D28)</f>
        <v>マーケットスピード II にログインして「接続中」の状態に変更してから利用してください。</v>
      </c>
      <c r="F28" t="str">
        <f>_xll.RssFOPMarket($E28,F$1)</f>
        <v/>
      </c>
      <c r="G28" t="str">
        <f>_xll.RssFOPMarket($E28,G$1)</f>
        <v/>
      </c>
      <c r="H28" t="str">
        <f>_xll.RssFOPMarket($E28,H$1)</f>
        <v/>
      </c>
      <c r="I28" t="str">
        <f>_xll.RssFOPMarket($E28,I$1)</f>
        <v/>
      </c>
      <c r="J28" t="str">
        <f>_xll.RssFOPMarket($E28,J$1)</f>
        <v/>
      </c>
      <c r="K28" t="str">
        <f>_xll.RssFOPMarket($E28,K$1)</f>
        <v/>
      </c>
      <c r="L28" t="str">
        <f>_xll.RssFOPMarket($E28,L$1)</f>
        <v/>
      </c>
      <c r="M28" t="str">
        <f>_xll.RssFOPMarket($E28,M$1)</f>
        <v/>
      </c>
      <c r="N28" t="str">
        <f>_xll.RssFOPMarket($E28,N$1)</f>
        <v/>
      </c>
      <c r="O28" t="str">
        <f>_xll.RssFOPMarket($E28,O$1)</f>
        <v/>
      </c>
      <c r="P28" t="str">
        <f>_xll.RssFOPMarket($E28,P$1)</f>
        <v/>
      </c>
      <c r="Q28" t="str">
        <f>_xll.RssFOPMarket($E28,Q$1)</f>
        <v/>
      </c>
    </row>
    <row r="29" spans="1:17" x14ac:dyDescent="0.4">
      <c r="A29" t="str">
        <f t="shared" si="0"/>
        <v>N225MOP</v>
      </c>
      <c r="B29" t="str">
        <f t="shared" si="0"/>
        <v>202311#1</v>
      </c>
      <c r="C29" t="str">
        <f t="shared" si="0"/>
        <v>C</v>
      </c>
      <c r="D29">
        <f t="shared" si="1"/>
        <v>33125</v>
      </c>
      <c r="E29" t="str">
        <f>_xll.RssFOPCode(A29,B29,IF(C29="C",1,IF(C29="P",2,"")),D29)</f>
        <v>マーケットスピード II にログインして「接続中」の状態に変更してから利用してください。</v>
      </c>
      <c r="F29" t="str">
        <f>_xll.RssFOPMarket($E29,F$1)</f>
        <v/>
      </c>
      <c r="G29" t="str">
        <f>_xll.RssFOPMarket($E29,G$1)</f>
        <v/>
      </c>
      <c r="H29" t="str">
        <f>_xll.RssFOPMarket($E29,H$1)</f>
        <v/>
      </c>
      <c r="I29" t="str">
        <f>_xll.RssFOPMarket($E29,I$1)</f>
        <v/>
      </c>
      <c r="J29" t="str">
        <f>_xll.RssFOPMarket($E29,J$1)</f>
        <v/>
      </c>
      <c r="K29" t="str">
        <f>_xll.RssFOPMarket($E29,K$1)</f>
        <v/>
      </c>
      <c r="L29" t="str">
        <f>_xll.RssFOPMarket($E29,L$1)</f>
        <v/>
      </c>
      <c r="M29" t="str">
        <f>_xll.RssFOPMarket($E29,M$1)</f>
        <v/>
      </c>
      <c r="N29" t="str">
        <f>_xll.RssFOPMarket($E29,N$1)</f>
        <v/>
      </c>
      <c r="O29" t="str">
        <f>_xll.RssFOPMarket($E29,O$1)</f>
        <v/>
      </c>
      <c r="P29" t="str">
        <f>_xll.RssFOPMarket($E29,P$1)</f>
        <v/>
      </c>
      <c r="Q29" t="str">
        <f>_xll.RssFOPMarket($E29,Q$1)</f>
        <v/>
      </c>
    </row>
    <row r="30" spans="1:17" x14ac:dyDescent="0.4">
      <c r="A30" t="str">
        <f t="shared" si="0"/>
        <v>N225MOP</v>
      </c>
      <c r="B30" t="str">
        <f t="shared" si="0"/>
        <v>202311#1</v>
      </c>
      <c r="C30" t="str">
        <f t="shared" si="0"/>
        <v>C</v>
      </c>
      <c r="D30">
        <f t="shared" si="1"/>
        <v>33000</v>
      </c>
      <c r="E30" t="str">
        <f>_xll.RssFOPCode(A30,B30,IF(C30="C",1,IF(C30="P",2,"")),D30)</f>
        <v>マーケットスピード II にログインして「接続中」の状態に変更してから利用してください。</v>
      </c>
      <c r="F30" t="str">
        <f>_xll.RssFOPMarket($E30,F$1)</f>
        <v/>
      </c>
      <c r="G30" t="str">
        <f>_xll.RssFOPMarket($E30,G$1)</f>
        <v/>
      </c>
      <c r="H30" t="str">
        <f>_xll.RssFOPMarket($E30,H$1)</f>
        <v/>
      </c>
      <c r="I30" t="str">
        <f>_xll.RssFOPMarket($E30,I$1)</f>
        <v/>
      </c>
      <c r="J30" t="str">
        <f>_xll.RssFOPMarket($E30,J$1)</f>
        <v/>
      </c>
      <c r="K30" t="str">
        <f>_xll.RssFOPMarket($E30,K$1)</f>
        <v/>
      </c>
      <c r="L30" t="str">
        <f>_xll.RssFOPMarket($E30,L$1)</f>
        <v/>
      </c>
      <c r="M30" t="str">
        <f>_xll.RssFOPMarket($E30,M$1)</f>
        <v/>
      </c>
      <c r="N30" t="str">
        <f>_xll.RssFOPMarket($E30,N$1)</f>
        <v/>
      </c>
      <c r="O30" t="str">
        <f>_xll.RssFOPMarket($E30,O$1)</f>
        <v/>
      </c>
      <c r="P30" t="str">
        <f>_xll.RssFOPMarket($E30,P$1)</f>
        <v/>
      </c>
      <c r="Q30" t="str">
        <f>_xll.RssFOPMarket($E30,Q$1)</f>
        <v/>
      </c>
    </row>
    <row r="31" spans="1:17" x14ac:dyDescent="0.4">
      <c r="A31" t="str">
        <f t="shared" si="0"/>
        <v>N225MOP</v>
      </c>
      <c r="B31" t="str">
        <f t="shared" si="0"/>
        <v>202311#1</v>
      </c>
      <c r="C31" t="str">
        <f t="shared" si="0"/>
        <v>C</v>
      </c>
      <c r="D31">
        <f t="shared" si="1"/>
        <v>32875</v>
      </c>
      <c r="E31" t="str">
        <f>_xll.RssFOPCode(A31,B31,IF(C31="C",1,IF(C31="P",2,"")),D31)</f>
        <v>マーケットスピード II にログインして「接続中」の状態に変更してから利用してください。</v>
      </c>
      <c r="F31" t="str">
        <f>_xll.RssFOPMarket($E31,F$1)</f>
        <v/>
      </c>
      <c r="G31" t="str">
        <f>_xll.RssFOPMarket($E31,G$1)</f>
        <v/>
      </c>
      <c r="H31" t="str">
        <f>_xll.RssFOPMarket($E31,H$1)</f>
        <v/>
      </c>
      <c r="I31" t="str">
        <f>_xll.RssFOPMarket($E31,I$1)</f>
        <v/>
      </c>
      <c r="J31" t="str">
        <f>_xll.RssFOPMarket($E31,J$1)</f>
        <v/>
      </c>
      <c r="K31" t="str">
        <f>_xll.RssFOPMarket($E31,K$1)</f>
        <v/>
      </c>
      <c r="L31" t="str">
        <f>_xll.RssFOPMarket($E31,L$1)</f>
        <v/>
      </c>
      <c r="M31" t="str">
        <f>_xll.RssFOPMarket($E31,M$1)</f>
        <v/>
      </c>
      <c r="N31" t="str">
        <f>_xll.RssFOPMarket($E31,N$1)</f>
        <v/>
      </c>
      <c r="O31" t="str">
        <f>_xll.RssFOPMarket($E31,O$1)</f>
        <v/>
      </c>
      <c r="P31" t="str">
        <f>_xll.RssFOPMarket($E31,P$1)</f>
        <v/>
      </c>
      <c r="Q31" t="str">
        <f>_xll.RssFOPMarket($E31,Q$1)</f>
        <v/>
      </c>
    </row>
    <row r="32" spans="1:17" x14ac:dyDescent="0.4">
      <c r="A32" t="str">
        <f t="shared" si="0"/>
        <v>N225MOP</v>
      </c>
      <c r="B32" t="str">
        <f t="shared" si="0"/>
        <v>202311#1</v>
      </c>
      <c r="C32" t="str">
        <f t="shared" si="0"/>
        <v>C</v>
      </c>
      <c r="D32">
        <f t="shared" si="1"/>
        <v>32750</v>
      </c>
      <c r="E32" t="str">
        <f>_xll.RssFOPCode(A32,B32,IF(C32="C",1,IF(C32="P",2,"")),D32)</f>
        <v>マーケットスピード II にログインして「接続中」の状態に変更してから利用してください。</v>
      </c>
      <c r="F32" t="str">
        <f>_xll.RssFOPMarket($E32,F$1)</f>
        <v/>
      </c>
      <c r="G32" t="str">
        <f>_xll.RssFOPMarket($E32,G$1)</f>
        <v/>
      </c>
      <c r="H32" t="str">
        <f>_xll.RssFOPMarket($E32,H$1)</f>
        <v/>
      </c>
      <c r="I32" t="str">
        <f>_xll.RssFOPMarket($E32,I$1)</f>
        <v/>
      </c>
      <c r="J32" t="str">
        <f>_xll.RssFOPMarket($E32,J$1)</f>
        <v/>
      </c>
      <c r="K32" t="str">
        <f>_xll.RssFOPMarket($E32,K$1)</f>
        <v/>
      </c>
      <c r="L32" t="str">
        <f>_xll.RssFOPMarket($E32,L$1)</f>
        <v/>
      </c>
      <c r="M32" t="str">
        <f>_xll.RssFOPMarket($E32,M$1)</f>
        <v/>
      </c>
      <c r="N32" t="str">
        <f>_xll.RssFOPMarket($E32,N$1)</f>
        <v/>
      </c>
      <c r="O32" t="str">
        <f>_xll.RssFOPMarket($E32,O$1)</f>
        <v/>
      </c>
      <c r="P32" t="str">
        <f>_xll.RssFOPMarket($E32,P$1)</f>
        <v/>
      </c>
      <c r="Q32" t="str">
        <f>_xll.RssFOPMarket($E32,Q$1)</f>
        <v/>
      </c>
    </row>
    <row r="33" spans="1:17" x14ac:dyDescent="0.4">
      <c r="A33" t="str">
        <f t="shared" si="0"/>
        <v>N225MOP</v>
      </c>
      <c r="B33" t="str">
        <f t="shared" si="0"/>
        <v>202311#1</v>
      </c>
      <c r="C33" t="str">
        <f t="shared" si="0"/>
        <v>C</v>
      </c>
      <c r="D33">
        <f t="shared" si="1"/>
        <v>32625</v>
      </c>
      <c r="E33" t="str">
        <f>_xll.RssFOPCode(A33,B33,IF(C33="C",1,IF(C33="P",2,"")),D33)</f>
        <v>マーケットスピード II にログインして「接続中」の状態に変更してから利用してください。</v>
      </c>
      <c r="F33" t="str">
        <f>_xll.RssFOPMarket($E33,F$1)</f>
        <v/>
      </c>
      <c r="G33" t="str">
        <f>_xll.RssFOPMarket($E33,G$1)</f>
        <v/>
      </c>
      <c r="H33" t="str">
        <f>_xll.RssFOPMarket($E33,H$1)</f>
        <v/>
      </c>
      <c r="I33" t="str">
        <f>_xll.RssFOPMarket($E33,I$1)</f>
        <v/>
      </c>
      <c r="J33" t="str">
        <f>_xll.RssFOPMarket($E33,J$1)</f>
        <v/>
      </c>
      <c r="K33" t="str">
        <f>_xll.RssFOPMarket($E33,K$1)</f>
        <v/>
      </c>
      <c r="L33" t="str">
        <f>_xll.RssFOPMarket($E33,L$1)</f>
        <v/>
      </c>
      <c r="M33" t="str">
        <f>_xll.RssFOPMarket($E33,M$1)</f>
        <v/>
      </c>
      <c r="N33" t="str">
        <f>_xll.RssFOPMarket($E33,N$1)</f>
        <v/>
      </c>
      <c r="O33" t="str">
        <f>_xll.RssFOPMarket($E33,O$1)</f>
        <v/>
      </c>
      <c r="P33" t="str">
        <f>_xll.RssFOPMarket($E33,P$1)</f>
        <v/>
      </c>
      <c r="Q33" t="str">
        <f>_xll.RssFOPMarket($E33,Q$1)</f>
        <v/>
      </c>
    </row>
    <row r="34" spans="1:17" x14ac:dyDescent="0.4">
      <c r="A34" t="str">
        <f t="shared" si="0"/>
        <v>N225MOP</v>
      </c>
      <c r="B34" t="str">
        <f t="shared" si="0"/>
        <v>202311#1</v>
      </c>
      <c r="C34" t="str">
        <f t="shared" si="0"/>
        <v>C</v>
      </c>
      <c r="D34">
        <f t="shared" si="1"/>
        <v>32500</v>
      </c>
      <c r="E34" t="str">
        <f>_xll.RssFOPCode(A34,B34,IF(C34="C",1,IF(C34="P",2,"")),D34)</f>
        <v>マーケットスピード II にログインして「接続中」の状態に変更してから利用してください。</v>
      </c>
      <c r="F34" t="str">
        <f>_xll.RssFOPMarket($E34,F$1)</f>
        <v/>
      </c>
      <c r="G34" t="str">
        <f>_xll.RssFOPMarket($E34,G$1)</f>
        <v/>
      </c>
      <c r="H34" t="str">
        <f>_xll.RssFOPMarket($E34,H$1)</f>
        <v/>
      </c>
      <c r="I34" t="str">
        <f>_xll.RssFOPMarket($E34,I$1)</f>
        <v/>
      </c>
      <c r="J34" t="str">
        <f>_xll.RssFOPMarket($E34,J$1)</f>
        <v/>
      </c>
      <c r="K34" t="str">
        <f>_xll.RssFOPMarket($E34,K$1)</f>
        <v/>
      </c>
      <c r="L34" t="str">
        <f>_xll.RssFOPMarket($E34,L$1)</f>
        <v/>
      </c>
      <c r="M34" t="str">
        <f>_xll.RssFOPMarket($E34,M$1)</f>
        <v/>
      </c>
      <c r="N34" t="str">
        <f>_xll.RssFOPMarket($E34,N$1)</f>
        <v/>
      </c>
      <c r="O34" t="str">
        <f>_xll.RssFOPMarket($E34,O$1)</f>
        <v/>
      </c>
      <c r="P34" t="str">
        <f>_xll.RssFOPMarket($E34,P$1)</f>
        <v/>
      </c>
      <c r="Q34" t="str">
        <f>_xll.RssFOPMarket($E34,Q$1)</f>
        <v/>
      </c>
    </row>
    <row r="35" spans="1:17" x14ac:dyDescent="0.4">
      <c r="A35" t="str">
        <f t="shared" si="0"/>
        <v>N225MOP</v>
      </c>
      <c r="B35" t="str">
        <f t="shared" si="0"/>
        <v>202311#1</v>
      </c>
      <c r="C35" t="str">
        <f t="shared" si="0"/>
        <v>C</v>
      </c>
      <c r="D35">
        <f t="shared" si="1"/>
        <v>32375</v>
      </c>
      <c r="E35" t="str">
        <f>_xll.RssFOPCode(A35,B35,IF(C35="C",1,IF(C35="P",2,"")),D35)</f>
        <v>マーケットスピード II にログインして「接続中」の状態に変更してから利用してください。</v>
      </c>
      <c r="F35" t="str">
        <f>_xll.RssFOPMarket($E35,F$1)</f>
        <v/>
      </c>
      <c r="G35" t="str">
        <f>_xll.RssFOPMarket($E35,G$1)</f>
        <v/>
      </c>
      <c r="H35" t="str">
        <f>_xll.RssFOPMarket($E35,H$1)</f>
        <v/>
      </c>
      <c r="I35" t="str">
        <f>_xll.RssFOPMarket($E35,I$1)</f>
        <v/>
      </c>
      <c r="J35" t="str">
        <f>_xll.RssFOPMarket($E35,J$1)</f>
        <v/>
      </c>
      <c r="K35" t="str">
        <f>_xll.RssFOPMarket($E35,K$1)</f>
        <v/>
      </c>
      <c r="L35" t="str">
        <f>_xll.RssFOPMarket($E35,L$1)</f>
        <v/>
      </c>
      <c r="M35" t="str">
        <f>_xll.RssFOPMarket($E35,M$1)</f>
        <v/>
      </c>
      <c r="N35" t="str">
        <f>_xll.RssFOPMarket($E35,N$1)</f>
        <v/>
      </c>
      <c r="O35" t="str">
        <f>_xll.RssFOPMarket($E35,O$1)</f>
        <v/>
      </c>
      <c r="P35" t="str">
        <f>_xll.RssFOPMarket($E35,P$1)</f>
        <v/>
      </c>
      <c r="Q35" t="str">
        <f>_xll.RssFOPMarket($E35,Q$1)</f>
        <v/>
      </c>
    </row>
    <row r="36" spans="1:17" x14ac:dyDescent="0.4">
      <c r="A36" t="str">
        <f t="shared" si="0"/>
        <v>N225MOP</v>
      </c>
      <c r="B36" t="str">
        <f t="shared" si="0"/>
        <v>202311#1</v>
      </c>
      <c r="C36" t="str">
        <f t="shared" si="0"/>
        <v>C</v>
      </c>
      <c r="D36">
        <f t="shared" si="1"/>
        <v>32250</v>
      </c>
      <c r="E36" t="str">
        <f>_xll.RssFOPCode(A36,B36,IF(C36="C",1,IF(C36="P",2,"")),D36)</f>
        <v>マーケットスピード II にログインして「接続中」の状態に変更してから利用してください。</v>
      </c>
      <c r="F36" t="str">
        <f>_xll.RssFOPMarket($E36,F$1)</f>
        <v/>
      </c>
      <c r="G36" t="str">
        <f>_xll.RssFOPMarket($E36,G$1)</f>
        <v/>
      </c>
      <c r="H36" t="str">
        <f>_xll.RssFOPMarket($E36,H$1)</f>
        <v/>
      </c>
      <c r="I36" t="str">
        <f>_xll.RssFOPMarket($E36,I$1)</f>
        <v/>
      </c>
      <c r="J36" t="str">
        <f>_xll.RssFOPMarket($E36,J$1)</f>
        <v/>
      </c>
      <c r="K36" t="str">
        <f>_xll.RssFOPMarket($E36,K$1)</f>
        <v/>
      </c>
      <c r="L36" t="str">
        <f>_xll.RssFOPMarket($E36,L$1)</f>
        <v/>
      </c>
      <c r="M36" t="str">
        <f>_xll.RssFOPMarket($E36,M$1)</f>
        <v/>
      </c>
      <c r="N36" t="str">
        <f>_xll.RssFOPMarket($E36,N$1)</f>
        <v/>
      </c>
      <c r="O36" t="str">
        <f>_xll.RssFOPMarket($E36,O$1)</f>
        <v/>
      </c>
      <c r="P36" t="str">
        <f>_xll.RssFOPMarket($E36,P$1)</f>
        <v/>
      </c>
      <c r="Q36" t="str">
        <f>_xll.RssFOPMarket($E36,Q$1)</f>
        <v/>
      </c>
    </row>
    <row r="37" spans="1:17" x14ac:dyDescent="0.4">
      <c r="A37" t="str">
        <f t="shared" si="0"/>
        <v>N225MOP</v>
      </c>
      <c r="B37" t="str">
        <f t="shared" si="0"/>
        <v>202311#1</v>
      </c>
      <c r="C37" t="str">
        <f t="shared" si="0"/>
        <v>C</v>
      </c>
      <c r="D37">
        <f t="shared" si="1"/>
        <v>32125</v>
      </c>
      <c r="E37" t="str">
        <f>_xll.RssFOPCode(A37,B37,IF(C37="C",1,IF(C37="P",2,"")),D37)</f>
        <v>マーケットスピード II にログインして「接続中」の状態に変更してから利用してください。</v>
      </c>
      <c r="F37" t="str">
        <f>_xll.RssFOPMarket($E37,F$1)</f>
        <v/>
      </c>
      <c r="G37" t="str">
        <f>_xll.RssFOPMarket($E37,G$1)</f>
        <v/>
      </c>
      <c r="H37" t="str">
        <f>_xll.RssFOPMarket($E37,H$1)</f>
        <v/>
      </c>
      <c r="I37" t="str">
        <f>_xll.RssFOPMarket($E37,I$1)</f>
        <v/>
      </c>
      <c r="J37" t="str">
        <f>_xll.RssFOPMarket($E37,J$1)</f>
        <v/>
      </c>
      <c r="K37" t="str">
        <f>_xll.RssFOPMarket($E37,K$1)</f>
        <v/>
      </c>
      <c r="L37" t="str">
        <f>_xll.RssFOPMarket($E37,L$1)</f>
        <v/>
      </c>
      <c r="M37" t="str">
        <f>_xll.RssFOPMarket($E37,M$1)</f>
        <v/>
      </c>
      <c r="N37" t="str">
        <f>_xll.RssFOPMarket($E37,N$1)</f>
        <v/>
      </c>
      <c r="O37" t="str">
        <f>_xll.RssFOPMarket($E37,O$1)</f>
        <v/>
      </c>
      <c r="P37" t="str">
        <f>_xll.RssFOPMarket($E37,P$1)</f>
        <v/>
      </c>
      <c r="Q37" t="str">
        <f>_xll.RssFOPMarket($E37,Q$1)</f>
        <v/>
      </c>
    </row>
    <row r="38" spans="1:17" x14ac:dyDescent="0.4">
      <c r="A38" t="str">
        <f t="shared" si="0"/>
        <v>N225MOP</v>
      </c>
      <c r="B38" t="str">
        <f t="shared" si="0"/>
        <v>202311#1</v>
      </c>
      <c r="C38" t="s">
        <v>15</v>
      </c>
      <c r="D38">
        <f t="shared" si="1"/>
        <v>32000</v>
      </c>
      <c r="E38" t="str">
        <f>_xll.RssFOPCode(A38,B38,IF(C38="C",1,IF(C38="P",2,"")),D38)</f>
        <v>マーケットスピード II にログインして「接続中」の状態に変更してから利用してください。</v>
      </c>
      <c r="F38" t="str">
        <f>_xll.RssFOPMarket($E38,F$1)</f>
        <v/>
      </c>
      <c r="G38" t="str">
        <f>_xll.RssFOPMarket($E38,G$1)</f>
        <v/>
      </c>
      <c r="H38" t="str">
        <f>_xll.RssFOPMarket($E38,H$1)</f>
        <v/>
      </c>
      <c r="I38" t="str">
        <f>_xll.RssFOPMarket($E38,I$1)</f>
        <v/>
      </c>
      <c r="J38" t="str">
        <f>_xll.RssFOPMarket($E38,J$1)</f>
        <v/>
      </c>
      <c r="K38" t="str">
        <f>_xll.RssFOPMarket($E38,K$1)</f>
        <v/>
      </c>
      <c r="L38" t="str">
        <f>_xll.RssFOPMarket($E38,L$1)</f>
        <v/>
      </c>
      <c r="M38" t="str">
        <f>_xll.RssFOPMarket($E38,M$1)</f>
        <v/>
      </c>
      <c r="N38" t="str">
        <f>_xll.RssFOPMarket($E38,N$1)</f>
        <v/>
      </c>
      <c r="O38" t="str">
        <f>_xll.RssFOPMarket($E38,O$1)</f>
        <v/>
      </c>
      <c r="P38" t="str">
        <f>_xll.RssFOPMarket($E38,P$1)</f>
        <v/>
      </c>
      <c r="Q38" t="str">
        <f>_xll.RssFOPMarket($E38,Q$1)</f>
        <v/>
      </c>
    </row>
    <row r="39" spans="1:17" x14ac:dyDescent="0.4">
      <c r="A39" t="str">
        <f t="shared" si="0"/>
        <v>N225MOP</v>
      </c>
      <c r="B39" t="str">
        <f t="shared" si="0"/>
        <v>202311#1</v>
      </c>
      <c r="C39" t="str">
        <f t="shared" si="0"/>
        <v>C</v>
      </c>
      <c r="D39">
        <f t="shared" si="1"/>
        <v>31875</v>
      </c>
      <c r="E39" t="str">
        <f>_xll.RssFOPCode(A39,B39,IF(C39="C",1,IF(C39="P",2,"")),D39)</f>
        <v>マーケットスピード II にログインして「接続中」の状態に変更してから利用してください。</v>
      </c>
      <c r="F39" t="str">
        <f>_xll.RssFOPMarket($E39,F$1)</f>
        <v/>
      </c>
      <c r="G39" t="str">
        <f>_xll.RssFOPMarket($E39,G$1)</f>
        <v/>
      </c>
      <c r="H39" t="str">
        <f>_xll.RssFOPMarket($E39,H$1)</f>
        <v/>
      </c>
      <c r="I39" t="str">
        <f>_xll.RssFOPMarket($E39,I$1)</f>
        <v/>
      </c>
      <c r="J39" t="str">
        <f>_xll.RssFOPMarket($E39,J$1)</f>
        <v/>
      </c>
      <c r="K39" t="str">
        <f>_xll.RssFOPMarket($E39,K$1)</f>
        <v/>
      </c>
      <c r="L39" t="str">
        <f>_xll.RssFOPMarket($E39,L$1)</f>
        <v/>
      </c>
      <c r="M39" t="str">
        <f>_xll.RssFOPMarket($E39,M$1)</f>
        <v/>
      </c>
      <c r="N39" t="str">
        <f>_xll.RssFOPMarket($E39,N$1)</f>
        <v/>
      </c>
      <c r="O39" t="str">
        <f>_xll.RssFOPMarket($E39,O$1)</f>
        <v/>
      </c>
      <c r="P39" t="str">
        <f>_xll.RssFOPMarket($E39,P$1)</f>
        <v/>
      </c>
      <c r="Q39" t="str">
        <f>_xll.RssFOPMarket($E39,Q$1)</f>
        <v/>
      </c>
    </row>
    <row r="40" spans="1:17" x14ac:dyDescent="0.4">
      <c r="A40" t="str">
        <f t="shared" si="0"/>
        <v>N225MOP</v>
      </c>
      <c r="B40" t="str">
        <f t="shared" si="0"/>
        <v>202311#1</v>
      </c>
      <c r="C40" t="str">
        <f t="shared" si="0"/>
        <v>C</v>
      </c>
      <c r="D40">
        <f t="shared" si="1"/>
        <v>31750</v>
      </c>
      <c r="E40" t="str">
        <f>_xll.RssFOPCode(A40,B40,IF(C40="C",1,IF(C40="P",2,"")),D40)</f>
        <v>マーケットスピード II にログインして「接続中」の状態に変更してから利用してください。</v>
      </c>
      <c r="F40" t="str">
        <f>_xll.RssFOPMarket($E40,F$1)</f>
        <v/>
      </c>
      <c r="G40" t="str">
        <f>_xll.RssFOPMarket($E40,G$1)</f>
        <v/>
      </c>
      <c r="H40" t="str">
        <f>_xll.RssFOPMarket($E40,H$1)</f>
        <v/>
      </c>
      <c r="I40" t="str">
        <f>_xll.RssFOPMarket($E40,I$1)</f>
        <v/>
      </c>
      <c r="J40" t="str">
        <f>_xll.RssFOPMarket($E40,J$1)</f>
        <v/>
      </c>
      <c r="K40" t="str">
        <f>_xll.RssFOPMarket($E40,K$1)</f>
        <v/>
      </c>
      <c r="L40" t="str">
        <f>_xll.RssFOPMarket($E40,L$1)</f>
        <v/>
      </c>
      <c r="M40" t="str">
        <f>_xll.RssFOPMarket($E40,M$1)</f>
        <v/>
      </c>
      <c r="N40" t="str">
        <f>_xll.RssFOPMarket($E40,N$1)</f>
        <v/>
      </c>
      <c r="O40" t="str">
        <f>_xll.RssFOPMarket($E40,O$1)</f>
        <v/>
      </c>
      <c r="P40" t="str">
        <f>_xll.RssFOPMarket($E40,P$1)</f>
        <v/>
      </c>
      <c r="Q40" t="str">
        <f>_xll.RssFOPMarket($E40,Q$1)</f>
        <v/>
      </c>
    </row>
    <row r="41" spans="1:17" x14ac:dyDescent="0.4">
      <c r="A41" t="str">
        <f t="shared" si="0"/>
        <v>N225MOP</v>
      </c>
      <c r="B41" t="str">
        <f t="shared" si="0"/>
        <v>202311#1</v>
      </c>
      <c r="C41" t="str">
        <f t="shared" si="0"/>
        <v>C</v>
      </c>
      <c r="D41">
        <f t="shared" si="1"/>
        <v>31625</v>
      </c>
      <c r="E41" t="str">
        <f>_xll.RssFOPCode(A41,B41,IF(C41="C",1,IF(C41="P",2,"")),D41)</f>
        <v>マーケットスピード II にログインして「接続中」の状態に変更してから利用してください。</v>
      </c>
      <c r="F41" t="str">
        <f>_xll.RssFOPMarket($E41,F$1)</f>
        <v/>
      </c>
      <c r="G41" t="str">
        <f>_xll.RssFOPMarket($E41,G$1)</f>
        <v/>
      </c>
      <c r="H41" t="str">
        <f>_xll.RssFOPMarket($E41,H$1)</f>
        <v/>
      </c>
      <c r="I41" t="str">
        <f>_xll.RssFOPMarket($E41,I$1)</f>
        <v/>
      </c>
      <c r="J41" t="str">
        <f>_xll.RssFOPMarket($E41,J$1)</f>
        <v/>
      </c>
      <c r="K41" t="str">
        <f>_xll.RssFOPMarket($E41,K$1)</f>
        <v/>
      </c>
      <c r="L41" t="str">
        <f>_xll.RssFOPMarket($E41,L$1)</f>
        <v/>
      </c>
      <c r="M41" t="str">
        <f>_xll.RssFOPMarket($E41,M$1)</f>
        <v/>
      </c>
      <c r="N41" t="str">
        <f>_xll.RssFOPMarket($E41,N$1)</f>
        <v/>
      </c>
      <c r="O41" t="str">
        <f>_xll.RssFOPMarket($E41,O$1)</f>
        <v/>
      </c>
      <c r="P41" t="str">
        <f>_xll.RssFOPMarket($E41,P$1)</f>
        <v/>
      </c>
      <c r="Q41" t="str">
        <f>_xll.RssFOPMarket($E41,Q$1)</f>
        <v/>
      </c>
    </row>
    <row r="42" spans="1:17" x14ac:dyDescent="0.4">
      <c r="A42" t="str">
        <f t="shared" si="0"/>
        <v>N225MOP</v>
      </c>
      <c r="B42" t="str">
        <f t="shared" si="0"/>
        <v>202311#1</v>
      </c>
      <c r="C42" t="str">
        <f t="shared" si="0"/>
        <v>C</v>
      </c>
      <c r="D42">
        <f t="shared" si="1"/>
        <v>31500</v>
      </c>
      <c r="E42" t="str">
        <f>_xll.RssFOPCode(A42,B42,IF(C42="C",1,IF(C42="P",2,"")),D42)</f>
        <v>マーケットスピード II にログインして「接続中」の状態に変更してから利用してください。</v>
      </c>
      <c r="F42" t="str">
        <f>_xll.RssFOPMarket($E42,F$1)</f>
        <v/>
      </c>
      <c r="G42" t="str">
        <f>_xll.RssFOPMarket($E42,G$1)</f>
        <v/>
      </c>
      <c r="H42" t="str">
        <f>_xll.RssFOPMarket($E42,H$1)</f>
        <v/>
      </c>
      <c r="I42" t="str">
        <f>_xll.RssFOPMarket($E42,I$1)</f>
        <v/>
      </c>
      <c r="J42" t="str">
        <f>_xll.RssFOPMarket($E42,J$1)</f>
        <v/>
      </c>
      <c r="K42" t="str">
        <f>_xll.RssFOPMarket($E42,K$1)</f>
        <v/>
      </c>
      <c r="L42" t="str">
        <f>_xll.RssFOPMarket($E42,L$1)</f>
        <v/>
      </c>
      <c r="M42" t="str">
        <f>_xll.RssFOPMarket($E42,M$1)</f>
        <v/>
      </c>
      <c r="N42" t="str">
        <f>_xll.RssFOPMarket($E42,N$1)</f>
        <v/>
      </c>
      <c r="O42" t="str">
        <f>_xll.RssFOPMarket($E42,O$1)</f>
        <v/>
      </c>
      <c r="P42" t="str">
        <f>_xll.RssFOPMarket($E42,P$1)</f>
        <v/>
      </c>
      <c r="Q42" t="str">
        <f>_xll.RssFOPMarket($E42,Q$1)</f>
        <v/>
      </c>
    </row>
    <row r="43" spans="1:17" x14ac:dyDescent="0.4">
      <c r="A43" t="str">
        <f t="shared" si="0"/>
        <v>N225MOP</v>
      </c>
      <c r="B43" t="str">
        <f t="shared" si="0"/>
        <v>202311#1</v>
      </c>
      <c r="C43" t="str">
        <f t="shared" si="0"/>
        <v>C</v>
      </c>
      <c r="D43">
        <f t="shared" si="1"/>
        <v>31375</v>
      </c>
      <c r="E43" t="str">
        <f>_xll.RssFOPCode(A43,B43,IF(C43="C",1,IF(C43="P",2,"")),D43)</f>
        <v>マーケットスピード II にログインして「接続中」の状態に変更してから利用してください。</v>
      </c>
      <c r="F43" t="str">
        <f>_xll.RssFOPMarket($E43,F$1)</f>
        <v/>
      </c>
      <c r="G43" t="str">
        <f>_xll.RssFOPMarket($E43,G$1)</f>
        <v/>
      </c>
      <c r="H43" t="str">
        <f>_xll.RssFOPMarket($E43,H$1)</f>
        <v/>
      </c>
      <c r="I43" t="str">
        <f>_xll.RssFOPMarket($E43,I$1)</f>
        <v/>
      </c>
      <c r="J43" t="str">
        <f>_xll.RssFOPMarket($E43,J$1)</f>
        <v/>
      </c>
      <c r="K43" t="str">
        <f>_xll.RssFOPMarket($E43,K$1)</f>
        <v/>
      </c>
      <c r="L43" t="str">
        <f>_xll.RssFOPMarket($E43,L$1)</f>
        <v/>
      </c>
      <c r="M43" t="str">
        <f>_xll.RssFOPMarket($E43,M$1)</f>
        <v/>
      </c>
      <c r="N43" t="str">
        <f>_xll.RssFOPMarket($E43,N$1)</f>
        <v/>
      </c>
      <c r="O43" t="str">
        <f>_xll.RssFOPMarket($E43,O$1)</f>
        <v/>
      </c>
      <c r="P43" t="str">
        <f>_xll.RssFOPMarket($E43,P$1)</f>
        <v/>
      </c>
      <c r="Q43" t="str">
        <f>_xll.RssFOPMarket($E43,Q$1)</f>
        <v/>
      </c>
    </row>
    <row r="44" spans="1:17" x14ac:dyDescent="0.4">
      <c r="A44" t="str">
        <f t="shared" si="0"/>
        <v>N225MOP</v>
      </c>
      <c r="B44" t="str">
        <f t="shared" si="0"/>
        <v>202311#1</v>
      </c>
      <c r="C44" t="str">
        <f t="shared" si="0"/>
        <v>C</v>
      </c>
      <c r="D44">
        <f t="shared" si="1"/>
        <v>31250</v>
      </c>
      <c r="E44" t="str">
        <f>_xll.RssFOPCode(A44,B44,IF(C44="C",1,IF(C44="P",2,"")),D44)</f>
        <v>マーケットスピード II にログインして「接続中」の状態に変更してから利用してください。</v>
      </c>
      <c r="F44" t="str">
        <f>_xll.RssFOPMarket($E44,F$1)</f>
        <v/>
      </c>
      <c r="G44" t="str">
        <f>_xll.RssFOPMarket($E44,G$1)</f>
        <v/>
      </c>
      <c r="H44" t="str">
        <f>_xll.RssFOPMarket($E44,H$1)</f>
        <v/>
      </c>
      <c r="I44" t="str">
        <f>_xll.RssFOPMarket($E44,I$1)</f>
        <v/>
      </c>
      <c r="J44" t="str">
        <f>_xll.RssFOPMarket($E44,J$1)</f>
        <v/>
      </c>
      <c r="K44" t="str">
        <f>_xll.RssFOPMarket($E44,K$1)</f>
        <v/>
      </c>
      <c r="L44" t="str">
        <f>_xll.RssFOPMarket($E44,L$1)</f>
        <v/>
      </c>
      <c r="M44" t="str">
        <f>_xll.RssFOPMarket($E44,M$1)</f>
        <v/>
      </c>
      <c r="N44" t="str">
        <f>_xll.RssFOPMarket($E44,N$1)</f>
        <v/>
      </c>
      <c r="O44" t="str">
        <f>_xll.RssFOPMarket($E44,O$1)</f>
        <v/>
      </c>
      <c r="P44" t="str">
        <f>_xll.RssFOPMarket($E44,P$1)</f>
        <v/>
      </c>
      <c r="Q44" t="str">
        <f>_xll.RssFOPMarket($E44,Q$1)</f>
        <v/>
      </c>
    </row>
    <row r="45" spans="1:17" x14ac:dyDescent="0.4">
      <c r="A45" t="str">
        <f t="shared" si="0"/>
        <v>N225MOP</v>
      </c>
      <c r="B45" t="str">
        <f t="shared" si="0"/>
        <v>202311#1</v>
      </c>
      <c r="C45" t="str">
        <f t="shared" si="0"/>
        <v>C</v>
      </c>
      <c r="D45">
        <f t="shared" si="1"/>
        <v>31125</v>
      </c>
      <c r="E45" t="str">
        <f>_xll.RssFOPCode(A45,B45,IF(C45="C",1,IF(C45="P",2,"")),D45)</f>
        <v>マーケットスピード II にログインして「接続中」の状態に変更してから利用してください。</v>
      </c>
      <c r="F45" t="str">
        <f>_xll.RssFOPMarket($E45,F$1)</f>
        <v/>
      </c>
      <c r="G45" t="str">
        <f>_xll.RssFOPMarket($E45,G$1)</f>
        <v/>
      </c>
      <c r="H45" t="str">
        <f>_xll.RssFOPMarket($E45,H$1)</f>
        <v/>
      </c>
      <c r="I45" t="str">
        <f>_xll.RssFOPMarket($E45,I$1)</f>
        <v/>
      </c>
      <c r="J45" t="str">
        <f>_xll.RssFOPMarket($E45,J$1)</f>
        <v/>
      </c>
      <c r="K45" t="str">
        <f>_xll.RssFOPMarket($E45,K$1)</f>
        <v/>
      </c>
      <c r="L45" t="str">
        <f>_xll.RssFOPMarket($E45,L$1)</f>
        <v/>
      </c>
      <c r="M45" t="str">
        <f>_xll.RssFOPMarket($E45,M$1)</f>
        <v/>
      </c>
      <c r="N45" t="str">
        <f>_xll.RssFOPMarket($E45,N$1)</f>
        <v/>
      </c>
      <c r="O45" t="str">
        <f>_xll.RssFOPMarket($E45,O$1)</f>
        <v/>
      </c>
      <c r="P45" t="str">
        <f>_xll.RssFOPMarket($E45,P$1)</f>
        <v/>
      </c>
      <c r="Q45" t="str">
        <f>_xll.RssFOPMarket($E45,Q$1)</f>
        <v/>
      </c>
    </row>
    <row r="46" spans="1:17" x14ac:dyDescent="0.4">
      <c r="A46" t="str">
        <f t="shared" si="0"/>
        <v>N225MOP</v>
      </c>
      <c r="B46" t="str">
        <f t="shared" si="0"/>
        <v>202311#1</v>
      </c>
      <c r="C46" t="str">
        <f t="shared" si="0"/>
        <v>C</v>
      </c>
      <c r="D46">
        <f t="shared" si="1"/>
        <v>31000</v>
      </c>
      <c r="E46" t="str">
        <f>_xll.RssFOPCode(A46,B46,IF(C46="C",1,IF(C46="P",2,"")),D46)</f>
        <v>マーケットスピード II にログインして「接続中」の状態に変更してから利用してください。</v>
      </c>
      <c r="F46" t="str">
        <f>_xll.RssFOPMarket($E46,F$1)</f>
        <v/>
      </c>
      <c r="G46" t="str">
        <f>_xll.RssFOPMarket($E46,G$1)</f>
        <v/>
      </c>
      <c r="H46" t="str">
        <f>_xll.RssFOPMarket($E46,H$1)</f>
        <v/>
      </c>
      <c r="I46" t="str">
        <f>_xll.RssFOPMarket($E46,I$1)</f>
        <v/>
      </c>
      <c r="J46" t="str">
        <f>_xll.RssFOPMarket($E46,J$1)</f>
        <v/>
      </c>
      <c r="K46" t="str">
        <f>_xll.RssFOPMarket($E46,K$1)</f>
        <v/>
      </c>
      <c r="L46" t="str">
        <f>_xll.RssFOPMarket($E46,L$1)</f>
        <v/>
      </c>
      <c r="M46" t="str">
        <f>_xll.RssFOPMarket($E46,M$1)</f>
        <v/>
      </c>
      <c r="N46" t="str">
        <f>_xll.RssFOPMarket($E46,N$1)</f>
        <v/>
      </c>
      <c r="O46" t="str">
        <f>_xll.RssFOPMarket($E46,O$1)</f>
        <v/>
      </c>
      <c r="P46" t="str">
        <f>_xll.RssFOPMarket($E46,P$1)</f>
        <v/>
      </c>
      <c r="Q46" t="str">
        <f>_xll.RssFOPMarket($E46,Q$1)</f>
        <v/>
      </c>
    </row>
    <row r="47" spans="1:17" x14ac:dyDescent="0.4">
      <c r="A47" t="str">
        <f t="shared" si="0"/>
        <v>N225MOP</v>
      </c>
      <c r="B47" t="str">
        <f t="shared" si="0"/>
        <v>202311#1</v>
      </c>
      <c r="C47" t="str">
        <f t="shared" si="0"/>
        <v>C</v>
      </c>
      <c r="D47">
        <f t="shared" si="1"/>
        <v>30875</v>
      </c>
      <c r="E47" t="str">
        <f>_xll.RssFOPCode(A47,B47,IF(C47="C",1,IF(C47="P",2,"")),D47)</f>
        <v>マーケットスピード II にログインして「接続中」の状態に変更してから利用してください。</v>
      </c>
      <c r="F47" t="str">
        <f>_xll.RssFOPMarket($E47,F$1)</f>
        <v/>
      </c>
      <c r="G47" t="str">
        <f>_xll.RssFOPMarket($E47,G$1)</f>
        <v/>
      </c>
      <c r="H47" t="str">
        <f>_xll.RssFOPMarket($E47,H$1)</f>
        <v/>
      </c>
      <c r="I47" t="str">
        <f>_xll.RssFOPMarket($E47,I$1)</f>
        <v/>
      </c>
      <c r="J47" t="str">
        <f>_xll.RssFOPMarket($E47,J$1)</f>
        <v/>
      </c>
      <c r="K47" t="str">
        <f>_xll.RssFOPMarket($E47,K$1)</f>
        <v/>
      </c>
      <c r="L47" t="str">
        <f>_xll.RssFOPMarket($E47,L$1)</f>
        <v/>
      </c>
      <c r="M47" t="str">
        <f>_xll.RssFOPMarket($E47,M$1)</f>
        <v/>
      </c>
      <c r="N47" t="str">
        <f>_xll.RssFOPMarket($E47,N$1)</f>
        <v/>
      </c>
      <c r="O47" t="str">
        <f>_xll.RssFOPMarket($E47,O$1)</f>
        <v/>
      </c>
      <c r="P47" t="str">
        <f>_xll.RssFOPMarket($E47,P$1)</f>
        <v/>
      </c>
      <c r="Q47" t="str">
        <f>_xll.RssFOPMarket($E47,Q$1)</f>
        <v/>
      </c>
    </row>
    <row r="48" spans="1:17" x14ac:dyDescent="0.4">
      <c r="A48" t="str">
        <f t="shared" si="0"/>
        <v>N225MOP</v>
      </c>
      <c r="B48" t="str">
        <f t="shared" si="0"/>
        <v>202311#1</v>
      </c>
      <c r="C48" t="str">
        <f t="shared" si="0"/>
        <v>C</v>
      </c>
      <c r="D48">
        <f t="shared" si="1"/>
        <v>30750</v>
      </c>
      <c r="E48" t="str">
        <f>_xll.RssFOPCode(A48,B48,IF(C48="C",1,IF(C48="P",2,"")),D48)</f>
        <v>マーケットスピード II にログインして「接続中」の状態に変更してから利用してください。</v>
      </c>
      <c r="F48" t="str">
        <f>_xll.RssFOPMarket($E48,F$1)</f>
        <v/>
      </c>
      <c r="G48" t="str">
        <f>_xll.RssFOPMarket($E48,G$1)</f>
        <v/>
      </c>
      <c r="H48" t="str">
        <f>_xll.RssFOPMarket($E48,H$1)</f>
        <v/>
      </c>
      <c r="I48" t="str">
        <f>_xll.RssFOPMarket($E48,I$1)</f>
        <v/>
      </c>
      <c r="J48" t="str">
        <f>_xll.RssFOPMarket($E48,J$1)</f>
        <v/>
      </c>
      <c r="K48" t="str">
        <f>_xll.RssFOPMarket($E48,K$1)</f>
        <v/>
      </c>
      <c r="L48" t="str">
        <f>_xll.RssFOPMarket($E48,L$1)</f>
        <v/>
      </c>
      <c r="M48" t="str">
        <f>_xll.RssFOPMarket($E48,M$1)</f>
        <v/>
      </c>
      <c r="N48" t="str">
        <f>_xll.RssFOPMarket($E48,N$1)</f>
        <v/>
      </c>
      <c r="O48" t="str">
        <f>_xll.RssFOPMarket($E48,O$1)</f>
        <v/>
      </c>
      <c r="P48" t="str">
        <f>_xll.RssFOPMarket($E48,P$1)</f>
        <v/>
      </c>
      <c r="Q48" t="str">
        <f>_xll.RssFOPMarket($E48,Q$1)</f>
        <v/>
      </c>
    </row>
    <row r="49" spans="1:17" x14ac:dyDescent="0.4">
      <c r="A49" t="str">
        <f t="shared" si="0"/>
        <v>N225MOP</v>
      </c>
      <c r="B49" t="str">
        <f t="shared" si="0"/>
        <v>202311#1</v>
      </c>
      <c r="C49" t="str">
        <f t="shared" si="0"/>
        <v>C</v>
      </c>
      <c r="D49">
        <f t="shared" si="1"/>
        <v>30625</v>
      </c>
      <c r="E49" t="str">
        <f>_xll.RssFOPCode(A49,B49,IF(C49="C",1,IF(C49="P",2,"")),D49)</f>
        <v>マーケットスピード II にログインして「接続中」の状態に変更してから利用してください。</v>
      </c>
      <c r="F49" t="str">
        <f>_xll.RssFOPMarket($E49,F$1)</f>
        <v/>
      </c>
      <c r="G49" t="str">
        <f>_xll.RssFOPMarket($E49,G$1)</f>
        <v/>
      </c>
      <c r="H49" t="str">
        <f>_xll.RssFOPMarket($E49,H$1)</f>
        <v/>
      </c>
      <c r="I49" t="str">
        <f>_xll.RssFOPMarket($E49,I$1)</f>
        <v/>
      </c>
      <c r="J49" t="str">
        <f>_xll.RssFOPMarket($E49,J$1)</f>
        <v/>
      </c>
      <c r="K49" t="str">
        <f>_xll.RssFOPMarket($E49,K$1)</f>
        <v/>
      </c>
      <c r="L49" t="str">
        <f>_xll.RssFOPMarket($E49,L$1)</f>
        <v/>
      </c>
      <c r="M49" t="str">
        <f>_xll.RssFOPMarket($E49,M$1)</f>
        <v/>
      </c>
      <c r="N49" t="str">
        <f>_xll.RssFOPMarket($E49,N$1)</f>
        <v/>
      </c>
      <c r="O49" t="str">
        <f>_xll.RssFOPMarket($E49,O$1)</f>
        <v/>
      </c>
      <c r="P49" t="str">
        <f>_xll.RssFOPMarket($E49,P$1)</f>
        <v/>
      </c>
      <c r="Q49" t="str">
        <f>_xll.RssFOPMarket($E49,Q$1)</f>
        <v/>
      </c>
    </row>
    <row r="50" spans="1:17" x14ac:dyDescent="0.4">
      <c r="A50" t="str">
        <f t="shared" si="0"/>
        <v>N225MOP</v>
      </c>
      <c r="B50" t="str">
        <f t="shared" si="0"/>
        <v>202311#1</v>
      </c>
      <c r="C50" t="str">
        <f t="shared" si="0"/>
        <v>C</v>
      </c>
      <c r="D50">
        <f t="shared" si="1"/>
        <v>30500</v>
      </c>
      <c r="E50" t="str">
        <f>_xll.RssFOPCode(A50,B50,IF(C50="C",1,IF(C50="P",2,"")),D50)</f>
        <v>マーケットスピード II にログインして「接続中」の状態に変更してから利用してください。</v>
      </c>
      <c r="F50" t="str">
        <f>_xll.RssFOPMarket($E50,F$1)</f>
        <v/>
      </c>
      <c r="G50" t="str">
        <f>_xll.RssFOPMarket($E50,G$1)</f>
        <v/>
      </c>
      <c r="H50" t="str">
        <f>_xll.RssFOPMarket($E50,H$1)</f>
        <v/>
      </c>
      <c r="I50" t="str">
        <f>_xll.RssFOPMarket($E50,I$1)</f>
        <v/>
      </c>
      <c r="J50" t="str">
        <f>_xll.RssFOPMarket($E50,J$1)</f>
        <v/>
      </c>
      <c r="K50" t="str">
        <f>_xll.RssFOPMarket($E50,K$1)</f>
        <v/>
      </c>
      <c r="L50" t="str">
        <f>_xll.RssFOPMarket($E50,L$1)</f>
        <v/>
      </c>
      <c r="M50" t="str">
        <f>_xll.RssFOPMarket($E50,M$1)</f>
        <v/>
      </c>
      <c r="N50" t="str">
        <f>_xll.RssFOPMarket($E50,N$1)</f>
        <v/>
      </c>
      <c r="O50" t="str">
        <f>_xll.RssFOPMarket($E50,O$1)</f>
        <v/>
      </c>
      <c r="P50" t="str">
        <f>_xll.RssFOPMarket($E50,P$1)</f>
        <v/>
      </c>
      <c r="Q50" t="str">
        <f>_xll.RssFOPMarket($E50,Q$1)</f>
        <v/>
      </c>
    </row>
    <row r="51" spans="1:17" x14ac:dyDescent="0.4">
      <c r="A51" t="str">
        <f t="shared" si="0"/>
        <v>N225MOP</v>
      </c>
      <c r="B51" t="str">
        <f t="shared" si="0"/>
        <v>202311#1</v>
      </c>
      <c r="C51" t="str">
        <f t="shared" si="0"/>
        <v>C</v>
      </c>
      <c r="D51">
        <f t="shared" si="1"/>
        <v>30375</v>
      </c>
      <c r="E51" t="str">
        <f>_xll.RssFOPCode(A51,B51,IF(C51="C",1,IF(C51="P",2,"")),D51)</f>
        <v>マーケットスピード II にログインして「接続中」の状態に変更してから利用してください。</v>
      </c>
      <c r="F51" t="str">
        <f>_xll.RssFOPMarket($E51,F$1)</f>
        <v/>
      </c>
      <c r="G51" t="str">
        <f>_xll.RssFOPMarket($E51,G$1)</f>
        <v/>
      </c>
      <c r="H51" t="str">
        <f>_xll.RssFOPMarket($E51,H$1)</f>
        <v/>
      </c>
      <c r="I51" t="str">
        <f>_xll.RssFOPMarket($E51,I$1)</f>
        <v/>
      </c>
      <c r="J51" t="str">
        <f>_xll.RssFOPMarket($E51,J$1)</f>
        <v/>
      </c>
      <c r="K51" t="str">
        <f>_xll.RssFOPMarket($E51,K$1)</f>
        <v/>
      </c>
      <c r="L51" t="str">
        <f>_xll.RssFOPMarket($E51,L$1)</f>
        <v/>
      </c>
      <c r="M51" t="str">
        <f>_xll.RssFOPMarket($E51,M$1)</f>
        <v/>
      </c>
      <c r="N51" t="str">
        <f>_xll.RssFOPMarket($E51,N$1)</f>
        <v/>
      </c>
      <c r="O51" t="str">
        <f>_xll.RssFOPMarket($E51,O$1)</f>
        <v/>
      </c>
      <c r="P51" t="str">
        <f>_xll.RssFOPMarket($E51,P$1)</f>
        <v/>
      </c>
      <c r="Q51" t="str">
        <f>_xll.RssFOPMarket($E51,Q$1)</f>
        <v/>
      </c>
    </row>
    <row r="52" spans="1:17" x14ac:dyDescent="0.4">
      <c r="A52" t="str">
        <f t="shared" si="0"/>
        <v>N225MOP</v>
      </c>
      <c r="B52" t="str">
        <f t="shared" si="0"/>
        <v>202311#1</v>
      </c>
      <c r="C52" t="str">
        <f t="shared" si="0"/>
        <v>C</v>
      </c>
      <c r="D52">
        <f t="shared" si="1"/>
        <v>30250</v>
      </c>
      <c r="E52" t="str">
        <f>_xll.RssFOPCode(A52,B52,IF(C52="C",1,IF(C52="P",2,"")),D52)</f>
        <v>マーケットスピード II にログインして「接続中」の状態に変更してから利用してください。</v>
      </c>
      <c r="F52" t="str">
        <f>_xll.RssFOPMarket($E52,F$1)</f>
        <v/>
      </c>
      <c r="G52" t="str">
        <f>_xll.RssFOPMarket($E52,G$1)</f>
        <v/>
      </c>
      <c r="H52" t="str">
        <f>_xll.RssFOPMarket($E52,H$1)</f>
        <v/>
      </c>
      <c r="I52" t="str">
        <f>_xll.RssFOPMarket($E52,I$1)</f>
        <v/>
      </c>
      <c r="J52" t="str">
        <f>_xll.RssFOPMarket($E52,J$1)</f>
        <v/>
      </c>
      <c r="K52" t="str">
        <f>_xll.RssFOPMarket($E52,K$1)</f>
        <v/>
      </c>
      <c r="L52" t="str">
        <f>_xll.RssFOPMarket($E52,L$1)</f>
        <v/>
      </c>
      <c r="M52" t="str">
        <f>_xll.RssFOPMarket($E52,M$1)</f>
        <v/>
      </c>
      <c r="N52" t="str">
        <f>_xll.RssFOPMarket($E52,N$1)</f>
        <v/>
      </c>
      <c r="O52" t="str">
        <f>_xll.RssFOPMarket($E52,O$1)</f>
        <v/>
      </c>
      <c r="P52" t="str">
        <f>_xll.RssFOPMarket($E52,P$1)</f>
        <v/>
      </c>
      <c r="Q52" t="str">
        <f>_xll.RssFOPMarket($E52,Q$1)</f>
        <v/>
      </c>
    </row>
    <row r="53" spans="1:17" x14ac:dyDescent="0.4">
      <c r="A53" t="str">
        <f t="shared" si="0"/>
        <v>N225MOP</v>
      </c>
      <c r="B53" t="str">
        <f t="shared" si="0"/>
        <v>202311#1</v>
      </c>
      <c r="C53" t="str">
        <f t="shared" si="0"/>
        <v>C</v>
      </c>
      <c r="D53">
        <f t="shared" si="1"/>
        <v>30125</v>
      </c>
      <c r="E53" t="str">
        <f>_xll.RssFOPCode(A53,B53,IF(C53="C",1,IF(C53="P",2,"")),D53)</f>
        <v>マーケットスピード II にログインして「接続中」の状態に変更してから利用してください。</v>
      </c>
      <c r="F53" t="str">
        <f>_xll.RssFOPMarket($E53,F$1)</f>
        <v/>
      </c>
      <c r="G53" t="str">
        <f>_xll.RssFOPMarket($E53,G$1)</f>
        <v/>
      </c>
      <c r="H53" t="str">
        <f>_xll.RssFOPMarket($E53,H$1)</f>
        <v/>
      </c>
      <c r="I53" t="str">
        <f>_xll.RssFOPMarket($E53,I$1)</f>
        <v/>
      </c>
      <c r="J53" t="str">
        <f>_xll.RssFOPMarket($E53,J$1)</f>
        <v/>
      </c>
      <c r="K53" t="str">
        <f>_xll.RssFOPMarket($E53,K$1)</f>
        <v/>
      </c>
      <c r="L53" t="str">
        <f>_xll.RssFOPMarket($E53,L$1)</f>
        <v/>
      </c>
      <c r="M53" t="str">
        <f>_xll.RssFOPMarket($E53,M$1)</f>
        <v/>
      </c>
      <c r="N53" t="str">
        <f>_xll.RssFOPMarket($E53,N$1)</f>
        <v/>
      </c>
      <c r="O53" t="str">
        <f>_xll.RssFOPMarket($E53,O$1)</f>
        <v/>
      </c>
      <c r="P53" t="str">
        <f>_xll.RssFOPMarket($E53,P$1)</f>
        <v/>
      </c>
      <c r="Q53" t="str">
        <f>_xll.RssFOPMarket($E53,Q$1)</f>
        <v/>
      </c>
    </row>
    <row r="54" spans="1:17" x14ac:dyDescent="0.4">
      <c r="A54" t="str">
        <f t="shared" si="0"/>
        <v>N225MOP</v>
      </c>
      <c r="B54" t="str">
        <f t="shared" si="0"/>
        <v>202311#1</v>
      </c>
      <c r="C54" t="str">
        <f t="shared" si="0"/>
        <v>C</v>
      </c>
      <c r="D54">
        <f t="shared" si="1"/>
        <v>30000</v>
      </c>
      <c r="E54" t="str">
        <f>_xll.RssFOPCode(A54,B54,IF(C54="C",1,IF(C54="P",2,"")),D54)</f>
        <v>マーケットスピード II にログインして「接続中」の状態に変更してから利用してください。</v>
      </c>
      <c r="F54" t="str">
        <f>_xll.RssFOPMarket($E54,F$1)</f>
        <v/>
      </c>
      <c r="G54" t="str">
        <f>_xll.RssFOPMarket($E54,G$1)</f>
        <v/>
      </c>
      <c r="H54" t="str">
        <f>_xll.RssFOPMarket($E54,H$1)</f>
        <v/>
      </c>
      <c r="I54" t="str">
        <f>_xll.RssFOPMarket($E54,I$1)</f>
        <v/>
      </c>
      <c r="J54" t="str">
        <f>_xll.RssFOPMarket($E54,J$1)</f>
        <v/>
      </c>
      <c r="K54" t="str">
        <f>_xll.RssFOPMarket($E54,K$1)</f>
        <v/>
      </c>
      <c r="L54" t="str">
        <f>_xll.RssFOPMarket($E54,L$1)</f>
        <v/>
      </c>
      <c r="M54" t="str">
        <f>_xll.RssFOPMarket($E54,M$1)</f>
        <v/>
      </c>
      <c r="N54" t="str">
        <f>_xll.RssFOPMarket($E54,N$1)</f>
        <v/>
      </c>
      <c r="O54" t="str">
        <f>_xll.RssFOPMarket($E54,O$1)</f>
        <v/>
      </c>
      <c r="P54" t="str">
        <f>_xll.RssFOPMarket($E54,P$1)</f>
        <v/>
      </c>
      <c r="Q54" t="str">
        <f>_xll.RssFOPMarket($E54,Q$1)</f>
        <v/>
      </c>
    </row>
    <row r="55" spans="1:17" x14ac:dyDescent="0.4">
      <c r="A55" t="str">
        <f t="shared" si="0"/>
        <v>N225MOP</v>
      </c>
      <c r="B55" t="str">
        <f t="shared" si="0"/>
        <v>202311#1</v>
      </c>
      <c r="C55" t="str">
        <f t="shared" si="0"/>
        <v>C</v>
      </c>
      <c r="D55">
        <f t="shared" si="1"/>
        <v>29875</v>
      </c>
      <c r="E55" t="str">
        <f>_xll.RssFOPCode(A55,B55,IF(C55="C",1,IF(C55="P",2,"")),D55)</f>
        <v>マーケットスピード II にログインして「接続中」の状態に変更してから利用してください。</v>
      </c>
      <c r="F55" t="str">
        <f>_xll.RssFOPMarket($E55,F$1)</f>
        <v/>
      </c>
      <c r="G55" t="str">
        <f>_xll.RssFOPMarket($E55,G$1)</f>
        <v/>
      </c>
      <c r="H55" t="str">
        <f>_xll.RssFOPMarket($E55,H$1)</f>
        <v/>
      </c>
      <c r="I55" t="str">
        <f>_xll.RssFOPMarket($E55,I$1)</f>
        <v/>
      </c>
      <c r="J55" t="str">
        <f>_xll.RssFOPMarket($E55,J$1)</f>
        <v/>
      </c>
      <c r="K55" t="str">
        <f>_xll.RssFOPMarket($E55,K$1)</f>
        <v/>
      </c>
      <c r="L55" t="str">
        <f>_xll.RssFOPMarket($E55,L$1)</f>
        <v/>
      </c>
      <c r="M55" t="str">
        <f>_xll.RssFOPMarket($E55,M$1)</f>
        <v/>
      </c>
      <c r="N55" t="str">
        <f>_xll.RssFOPMarket($E55,N$1)</f>
        <v/>
      </c>
      <c r="O55" t="str">
        <f>_xll.RssFOPMarket($E55,O$1)</f>
        <v/>
      </c>
      <c r="P55" t="str">
        <f>_xll.RssFOPMarket($E55,P$1)</f>
        <v/>
      </c>
      <c r="Q55" t="str">
        <f>_xll.RssFOPMarket($E55,Q$1)</f>
        <v/>
      </c>
    </row>
    <row r="56" spans="1:17" x14ac:dyDescent="0.4">
      <c r="A56" t="str">
        <f t="shared" si="0"/>
        <v>N225MOP</v>
      </c>
      <c r="B56" t="str">
        <f t="shared" si="0"/>
        <v>202311#1</v>
      </c>
      <c r="C56" t="str">
        <f t="shared" si="0"/>
        <v>C</v>
      </c>
      <c r="D56">
        <f t="shared" si="1"/>
        <v>29750</v>
      </c>
      <c r="E56" t="str">
        <f>_xll.RssFOPCode(A56,B56,IF(C56="C",1,IF(C56="P",2,"")),D56)</f>
        <v>マーケットスピード II にログインして「接続中」の状態に変更してから利用してください。</v>
      </c>
      <c r="F56" t="str">
        <f>_xll.RssFOPMarket($E56,F$1)</f>
        <v/>
      </c>
      <c r="G56" t="str">
        <f>_xll.RssFOPMarket($E56,G$1)</f>
        <v/>
      </c>
      <c r="H56" t="str">
        <f>_xll.RssFOPMarket($E56,H$1)</f>
        <v/>
      </c>
      <c r="I56" t="str">
        <f>_xll.RssFOPMarket($E56,I$1)</f>
        <v/>
      </c>
      <c r="J56" t="str">
        <f>_xll.RssFOPMarket($E56,J$1)</f>
        <v/>
      </c>
      <c r="K56" t="str">
        <f>_xll.RssFOPMarket($E56,K$1)</f>
        <v/>
      </c>
      <c r="L56" t="str">
        <f>_xll.RssFOPMarket($E56,L$1)</f>
        <v/>
      </c>
      <c r="M56" t="str">
        <f>_xll.RssFOPMarket($E56,M$1)</f>
        <v/>
      </c>
      <c r="N56" t="str">
        <f>_xll.RssFOPMarket($E56,N$1)</f>
        <v/>
      </c>
      <c r="O56" t="str">
        <f>_xll.RssFOPMarket($E56,O$1)</f>
        <v/>
      </c>
      <c r="P56" t="str">
        <f>_xll.RssFOPMarket($E56,P$1)</f>
        <v/>
      </c>
      <c r="Q56" t="str">
        <f>_xll.RssFOPMarket($E56,Q$1)</f>
        <v/>
      </c>
    </row>
    <row r="57" spans="1:17" x14ac:dyDescent="0.4">
      <c r="A57" t="str">
        <f t="shared" si="0"/>
        <v>N225MOP</v>
      </c>
      <c r="B57" t="str">
        <f t="shared" si="0"/>
        <v>202311#1</v>
      </c>
      <c r="C57" t="str">
        <f t="shared" si="0"/>
        <v>C</v>
      </c>
      <c r="D57">
        <f t="shared" si="1"/>
        <v>29625</v>
      </c>
      <c r="E57" t="str">
        <f>_xll.RssFOPCode(A57,B57,IF(C57="C",1,IF(C57="P",2,"")),D57)</f>
        <v>マーケットスピード II にログインして「接続中」の状態に変更してから利用してください。</v>
      </c>
      <c r="F57" t="str">
        <f>_xll.RssFOPMarket($E57,F$1)</f>
        <v/>
      </c>
      <c r="G57" t="str">
        <f>_xll.RssFOPMarket($E57,G$1)</f>
        <v/>
      </c>
      <c r="H57" t="str">
        <f>_xll.RssFOPMarket($E57,H$1)</f>
        <v/>
      </c>
      <c r="I57" t="str">
        <f>_xll.RssFOPMarket($E57,I$1)</f>
        <v/>
      </c>
      <c r="J57" t="str">
        <f>_xll.RssFOPMarket($E57,J$1)</f>
        <v/>
      </c>
      <c r="K57" t="str">
        <f>_xll.RssFOPMarket($E57,K$1)</f>
        <v/>
      </c>
      <c r="L57" t="str">
        <f>_xll.RssFOPMarket($E57,L$1)</f>
        <v/>
      </c>
      <c r="M57" t="str">
        <f>_xll.RssFOPMarket($E57,M$1)</f>
        <v/>
      </c>
      <c r="N57" t="str">
        <f>_xll.RssFOPMarket($E57,N$1)</f>
        <v/>
      </c>
      <c r="O57" t="str">
        <f>_xll.RssFOPMarket($E57,O$1)</f>
        <v/>
      </c>
      <c r="P57" t="str">
        <f>_xll.RssFOPMarket($E57,P$1)</f>
        <v/>
      </c>
      <c r="Q57" t="str">
        <f>_xll.RssFOPMarket($E57,Q$1)</f>
        <v/>
      </c>
    </row>
    <row r="58" spans="1:17" x14ac:dyDescent="0.4">
      <c r="A58" t="str">
        <f t="shared" si="0"/>
        <v>N225MOP</v>
      </c>
      <c r="B58" t="str">
        <f t="shared" si="0"/>
        <v>202311#1</v>
      </c>
      <c r="C58" t="str">
        <f t="shared" si="0"/>
        <v>C</v>
      </c>
      <c r="D58">
        <f t="shared" si="1"/>
        <v>29500</v>
      </c>
      <c r="E58" t="str">
        <f>_xll.RssFOPCode(A58,B58,IF(C58="C",1,IF(C58="P",2,"")),D58)</f>
        <v>マーケットスピード II にログインして「接続中」の状態に変更してから利用してください。</v>
      </c>
      <c r="F58" t="str">
        <f>_xll.RssFOPMarket($E58,F$1)</f>
        <v/>
      </c>
      <c r="G58" t="str">
        <f>_xll.RssFOPMarket($E58,G$1)</f>
        <v/>
      </c>
      <c r="H58" t="str">
        <f>_xll.RssFOPMarket($E58,H$1)</f>
        <v/>
      </c>
      <c r="I58" t="str">
        <f>_xll.RssFOPMarket($E58,I$1)</f>
        <v/>
      </c>
      <c r="J58" t="str">
        <f>_xll.RssFOPMarket($E58,J$1)</f>
        <v/>
      </c>
      <c r="K58" t="str">
        <f>_xll.RssFOPMarket($E58,K$1)</f>
        <v/>
      </c>
      <c r="L58" t="str">
        <f>_xll.RssFOPMarket($E58,L$1)</f>
        <v/>
      </c>
      <c r="M58" t="str">
        <f>_xll.RssFOPMarket($E58,M$1)</f>
        <v/>
      </c>
      <c r="N58" t="str">
        <f>_xll.RssFOPMarket($E58,N$1)</f>
        <v/>
      </c>
      <c r="O58" t="str">
        <f>_xll.RssFOPMarket($E58,O$1)</f>
        <v/>
      </c>
      <c r="P58" t="str">
        <f>_xll.RssFOPMarket($E58,P$1)</f>
        <v/>
      </c>
      <c r="Q58" t="str">
        <f>_xll.RssFOPMarket($E58,Q$1)</f>
        <v/>
      </c>
    </row>
    <row r="59" spans="1:17" x14ac:dyDescent="0.4">
      <c r="A59" t="str">
        <f t="shared" si="0"/>
        <v>N225MOP</v>
      </c>
      <c r="B59" t="str">
        <f t="shared" si="0"/>
        <v>202311#1</v>
      </c>
      <c r="C59" t="str">
        <f t="shared" si="0"/>
        <v>C</v>
      </c>
      <c r="D59">
        <f t="shared" si="1"/>
        <v>29375</v>
      </c>
      <c r="E59" t="str">
        <f>_xll.RssFOPCode(A59,B59,IF(C59="C",1,IF(C59="P",2,"")),D59)</f>
        <v>マーケットスピード II にログインして「接続中」の状態に変更してから利用してください。</v>
      </c>
      <c r="F59" t="str">
        <f>_xll.RssFOPMarket($E59,F$1)</f>
        <v/>
      </c>
      <c r="G59" t="str">
        <f>_xll.RssFOPMarket($E59,G$1)</f>
        <v/>
      </c>
      <c r="H59" t="str">
        <f>_xll.RssFOPMarket($E59,H$1)</f>
        <v/>
      </c>
      <c r="I59" t="str">
        <f>_xll.RssFOPMarket($E59,I$1)</f>
        <v/>
      </c>
      <c r="J59" t="str">
        <f>_xll.RssFOPMarket($E59,J$1)</f>
        <v/>
      </c>
      <c r="K59" t="str">
        <f>_xll.RssFOPMarket($E59,K$1)</f>
        <v/>
      </c>
      <c r="L59" t="str">
        <f>_xll.RssFOPMarket($E59,L$1)</f>
        <v/>
      </c>
      <c r="M59" t="str">
        <f>_xll.RssFOPMarket($E59,M$1)</f>
        <v/>
      </c>
      <c r="N59" t="str">
        <f>_xll.RssFOPMarket($E59,N$1)</f>
        <v/>
      </c>
      <c r="O59" t="str">
        <f>_xll.RssFOPMarket($E59,O$1)</f>
        <v/>
      </c>
      <c r="P59" t="str">
        <f>_xll.RssFOPMarket($E59,P$1)</f>
        <v/>
      </c>
      <c r="Q59" t="str">
        <f>_xll.RssFOPMarket($E59,Q$1)</f>
        <v/>
      </c>
    </row>
    <row r="60" spans="1:17" x14ac:dyDescent="0.4">
      <c r="A60" t="str">
        <f t="shared" si="0"/>
        <v>N225MOP</v>
      </c>
      <c r="B60" t="str">
        <f t="shared" si="0"/>
        <v>202311#1</v>
      </c>
      <c r="C60" t="str">
        <f t="shared" si="0"/>
        <v>C</v>
      </c>
      <c r="D60">
        <f t="shared" si="1"/>
        <v>29250</v>
      </c>
      <c r="E60" t="str">
        <f>_xll.RssFOPCode(A60,B60,IF(C60="C",1,IF(C60="P",2,"")),D60)</f>
        <v>マーケットスピード II にログインして「接続中」の状態に変更してから利用してください。</v>
      </c>
      <c r="F60" t="str">
        <f>_xll.RssFOPMarket($E60,F$1)</f>
        <v/>
      </c>
      <c r="G60" t="str">
        <f>_xll.RssFOPMarket($E60,G$1)</f>
        <v/>
      </c>
      <c r="H60" t="str">
        <f>_xll.RssFOPMarket($E60,H$1)</f>
        <v/>
      </c>
      <c r="I60" t="str">
        <f>_xll.RssFOPMarket($E60,I$1)</f>
        <v/>
      </c>
      <c r="J60" t="str">
        <f>_xll.RssFOPMarket($E60,J$1)</f>
        <v/>
      </c>
      <c r="K60" t="str">
        <f>_xll.RssFOPMarket($E60,K$1)</f>
        <v/>
      </c>
      <c r="L60" t="str">
        <f>_xll.RssFOPMarket($E60,L$1)</f>
        <v/>
      </c>
      <c r="M60" t="str">
        <f>_xll.RssFOPMarket($E60,M$1)</f>
        <v/>
      </c>
      <c r="N60" t="str">
        <f>_xll.RssFOPMarket($E60,N$1)</f>
        <v/>
      </c>
      <c r="O60" t="str">
        <f>_xll.RssFOPMarket($E60,O$1)</f>
        <v/>
      </c>
      <c r="P60" t="str">
        <f>_xll.RssFOPMarket($E60,P$1)</f>
        <v/>
      </c>
      <c r="Q60" t="str">
        <f>_xll.RssFOPMarket($E60,Q$1)</f>
        <v/>
      </c>
    </row>
    <row r="61" spans="1:17" x14ac:dyDescent="0.4">
      <c r="A61" t="str">
        <f t="shared" si="0"/>
        <v>N225MOP</v>
      </c>
      <c r="B61" t="str">
        <f t="shared" si="0"/>
        <v>202311#1</v>
      </c>
      <c r="C61" t="str">
        <f t="shared" si="0"/>
        <v>C</v>
      </c>
      <c r="D61">
        <f t="shared" si="1"/>
        <v>29125</v>
      </c>
      <c r="E61" t="str">
        <f>_xll.RssFOPCode(A61,B61,IF(C61="C",1,IF(C61="P",2,"")),D61)</f>
        <v>マーケットスピード II にログインして「接続中」の状態に変更してから利用してください。</v>
      </c>
      <c r="F61" t="str">
        <f>_xll.RssFOPMarket($E61,F$1)</f>
        <v/>
      </c>
      <c r="G61" t="str">
        <f>_xll.RssFOPMarket($E61,G$1)</f>
        <v/>
      </c>
      <c r="H61" t="str">
        <f>_xll.RssFOPMarket($E61,H$1)</f>
        <v/>
      </c>
      <c r="I61" t="str">
        <f>_xll.RssFOPMarket($E61,I$1)</f>
        <v/>
      </c>
      <c r="J61" t="str">
        <f>_xll.RssFOPMarket($E61,J$1)</f>
        <v/>
      </c>
      <c r="K61" t="str">
        <f>_xll.RssFOPMarket($E61,K$1)</f>
        <v/>
      </c>
      <c r="L61" t="str">
        <f>_xll.RssFOPMarket($E61,L$1)</f>
        <v/>
      </c>
      <c r="M61" t="str">
        <f>_xll.RssFOPMarket($E61,M$1)</f>
        <v/>
      </c>
      <c r="N61" t="str">
        <f>_xll.RssFOPMarket($E61,N$1)</f>
        <v/>
      </c>
      <c r="O61" t="str">
        <f>_xll.RssFOPMarket($E61,O$1)</f>
        <v/>
      </c>
      <c r="P61" t="str">
        <f>_xll.RssFOPMarket($E61,P$1)</f>
        <v/>
      </c>
      <c r="Q61" t="str">
        <f>_xll.RssFOPMarket($E61,Q$1)</f>
        <v/>
      </c>
    </row>
    <row r="62" spans="1:17" x14ac:dyDescent="0.4">
      <c r="A62" t="str">
        <f t="shared" si="0"/>
        <v>N225MOP</v>
      </c>
      <c r="B62" t="str">
        <f t="shared" si="0"/>
        <v>202311#1</v>
      </c>
      <c r="C62" t="str">
        <f t="shared" si="0"/>
        <v>C</v>
      </c>
      <c r="D62">
        <f t="shared" si="1"/>
        <v>29000</v>
      </c>
      <c r="E62" t="str">
        <f>_xll.RssFOPCode(A62,B62,IF(C62="C",1,IF(C62="P",2,"")),D62)</f>
        <v>マーケットスピード II にログインして「接続中」の状態に変更してから利用してください。</v>
      </c>
      <c r="F62" t="str">
        <f>_xll.RssFOPMarket($E62,F$1)</f>
        <v/>
      </c>
      <c r="G62" t="str">
        <f>_xll.RssFOPMarket($E62,G$1)</f>
        <v/>
      </c>
      <c r="H62" t="str">
        <f>_xll.RssFOPMarket($E62,H$1)</f>
        <v/>
      </c>
      <c r="I62" t="str">
        <f>_xll.RssFOPMarket($E62,I$1)</f>
        <v/>
      </c>
      <c r="J62" t="str">
        <f>_xll.RssFOPMarket($E62,J$1)</f>
        <v/>
      </c>
      <c r="K62" t="str">
        <f>_xll.RssFOPMarket($E62,K$1)</f>
        <v/>
      </c>
      <c r="L62" t="str">
        <f>_xll.RssFOPMarket($E62,L$1)</f>
        <v/>
      </c>
      <c r="M62" t="str">
        <f>_xll.RssFOPMarket($E62,M$1)</f>
        <v/>
      </c>
      <c r="N62" t="str">
        <f>_xll.RssFOPMarket($E62,N$1)</f>
        <v/>
      </c>
      <c r="O62" t="str">
        <f>_xll.RssFOPMarket($E62,O$1)</f>
        <v/>
      </c>
      <c r="P62" t="str">
        <f>_xll.RssFOPMarket($E62,P$1)</f>
        <v/>
      </c>
      <c r="Q62" t="str">
        <f>_xll.RssFOPMarket($E62,Q$1)</f>
        <v/>
      </c>
    </row>
    <row r="63" spans="1:17" x14ac:dyDescent="0.4">
      <c r="A63" t="str">
        <f t="shared" si="0"/>
        <v>N225MOP</v>
      </c>
      <c r="B63" t="str">
        <f t="shared" si="0"/>
        <v>202311#1</v>
      </c>
      <c r="C63" t="str">
        <f t="shared" si="0"/>
        <v>C</v>
      </c>
      <c r="D63">
        <f t="shared" si="1"/>
        <v>28875</v>
      </c>
      <c r="E63" t="str">
        <f>_xll.RssFOPCode(A63,B63,IF(C63="C",1,IF(C63="P",2,"")),D63)</f>
        <v>マーケットスピード II にログインして「接続中」の状態に変更してから利用してください。</v>
      </c>
      <c r="F63" t="str">
        <f>_xll.RssFOPMarket($E63,F$1)</f>
        <v/>
      </c>
      <c r="G63" t="str">
        <f>_xll.RssFOPMarket($E63,G$1)</f>
        <v/>
      </c>
      <c r="H63" t="str">
        <f>_xll.RssFOPMarket($E63,H$1)</f>
        <v/>
      </c>
      <c r="I63" t="str">
        <f>_xll.RssFOPMarket($E63,I$1)</f>
        <v/>
      </c>
      <c r="J63" t="str">
        <f>_xll.RssFOPMarket($E63,J$1)</f>
        <v/>
      </c>
      <c r="K63" t="str">
        <f>_xll.RssFOPMarket($E63,K$1)</f>
        <v/>
      </c>
      <c r="L63" t="str">
        <f>_xll.RssFOPMarket($E63,L$1)</f>
        <v/>
      </c>
      <c r="M63" t="str">
        <f>_xll.RssFOPMarket($E63,M$1)</f>
        <v/>
      </c>
      <c r="N63" t="str">
        <f>_xll.RssFOPMarket($E63,N$1)</f>
        <v/>
      </c>
      <c r="O63" t="str">
        <f>_xll.RssFOPMarket($E63,O$1)</f>
        <v/>
      </c>
      <c r="P63" t="str">
        <f>_xll.RssFOPMarket($E63,P$1)</f>
        <v/>
      </c>
      <c r="Q63" t="str">
        <f>_xll.RssFOPMarket($E63,Q$1)</f>
        <v/>
      </c>
    </row>
    <row r="64" spans="1:17" x14ac:dyDescent="0.4">
      <c r="A64" t="str">
        <f t="shared" si="0"/>
        <v>N225MOP</v>
      </c>
      <c r="B64" t="str">
        <f t="shared" si="0"/>
        <v>202311#1</v>
      </c>
      <c r="C64" t="str">
        <f t="shared" si="0"/>
        <v>C</v>
      </c>
      <c r="D64">
        <f t="shared" si="1"/>
        <v>28750</v>
      </c>
      <c r="E64" t="str">
        <f>_xll.RssFOPCode(A64,B64,IF(C64="C",1,IF(C64="P",2,"")),D64)</f>
        <v>マーケットスピード II にログインして「接続中」の状態に変更してから利用してください。</v>
      </c>
      <c r="F64" t="str">
        <f>_xll.RssFOPMarket($E64,F$1)</f>
        <v/>
      </c>
      <c r="G64" t="str">
        <f>_xll.RssFOPMarket($E64,G$1)</f>
        <v/>
      </c>
      <c r="H64" t="str">
        <f>_xll.RssFOPMarket($E64,H$1)</f>
        <v/>
      </c>
      <c r="I64" t="str">
        <f>_xll.RssFOPMarket($E64,I$1)</f>
        <v/>
      </c>
      <c r="J64" t="str">
        <f>_xll.RssFOPMarket($E64,J$1)</f>
        <v/>
      </c>
      <c r="K64" t="str">
        <f>_xll.RssFOPMarket($E64,K$1)</f>
        <v/>
      </c>
      <c r="L64" t="str">
        <f>_xll.RssFOPMarket($E64,L$1)</f>
        <v/>
      </c>
      <c r="M64" t="str">
        <f>_xll.RssFOPMarket($E64,M$1)</f>
        <v/>
      </c>
      <c r="N64" t="str">
        <f>_xll.RssFOPMarket($E64,N$1)</f>
        <v/>
      </c>
      <c r="O64" t="str">
        <f>_xll.RssFOPMarket($E64,O$1)</f>
        <v/>
      </c>
      <c r="P64" t="str">
        <f>_xll.RssFOPMarket($E64,P$1)</f>
        <v/>
      </c>
      <c r="Q64" t="str">
        <f>_xll.RssFOPMarket($E64,Q$1)</f>
        <v/>
      </c>
    </row>
    <row r="65" spans="1:17" x14ac:dyDescent="0.4">
      <c r="A65" t="str">
        <f t="shared" si="0"/>
        <v>N225MOP</v>
      </c>
      <c r="B65" t="str">
        <f t="shared" si="0"/>
        <v>202311#1</v>
      </c>
      <c r="C65" t="str">
        <f t="shared" si="0"/>
        <v>C</v>
      </c>
      <c r="D65">
        <f t="shared" si="1"/>
        <v>28625</v>
      </c>
      <c r="E65" t="str">
        <f>_xll.RssFOPCode(A65,B65,IF(C65="C",1,IF(C65="P",2,"")),D65)</f>
        <v>マーケットスピード II にログインして「接続中」の状態に変更してから利用してください。</v>
      </c>
      <c r="F65" t="str">
        <f>_xll.RssFOPMarket($E65,F$1)</f>
        <v/>
      </c>
      <c r="G65" t="str">
        <f>_xll.RssFOPMarket($E65,G$1)</f>
        <v/>
      </c>
      <c r="H65" t="str">
        <f>_xll.RssFOPMarket($E65,H$1)</f>
        <v/>
      </c>
      <c r="I65" t="str">
        <f>_xll.RssFOPMarket($E65,I$1)</f>
        <v/>
      </c>
      <c r="J65" t="str">
        <f>_xll.RssFOPMarket($E65,J$1)</f>
        <v/>
      </c>
      <c r="K65" t="str">
        <f>_xll.RssFOPMarket($E65,K$1)</f>
        <v/>
      </c>
      <c r="L65" t="str">
        <f>_xll.RssFOPMarket($E65,L$1)</f>
        <v/>
      </c>
      <c r="M65" t="str">
        <f>_xll.RssFOPMarket($E65,M$1)</f>
        <v/>
      </c>
      <c r="N65" t="str">
        <f>_xll.RssFOPMarket($E65,N$1)</f>
        <v/>
      </c>
      <c r="O65" t="str">
        <f>_xll.RssFOPMarket($E65,O$1)</f>
        <v/>
      </c>
      <c r="P65" t="str">
        <f>_xll.RssFOPMarket($E65,P$1)</f>
        <v/>
      </c>
      <c r="Q65" t="str">
        <f>_xll.RssFOPMarket($E65,Q$1)</f>
        <v/>
      </c>
    </row>
    <row r="66" spans="1:17" x14ac:dyDescent="0.4">
      <c r="A66" t="str">
        <f t="shared" si="0"/>
        <v>N225MOP</v>
      </c>
      <c r="B66" t="str">
        <f t="shared" si="0"/>
        <v>202311#1</v>
      </c>
      <c r="C66" t="str">
        <f t="shared" si="0"/>
        <v>C</v>
      </c>
      <c r="D66">
        <f t="shared" si="1"/>
        <v>28500</v>
      </c>
      <c r="E66" t="str">
        <f>_xll.RssFOPCode(A66,B66,IF(C66="C",1,IF(C66="P",2,"")),D66)</f>
        <v>マーケットスピード II にログインして「接続中」の状態に変更してから利用してください。</v>
      </c>
      <c r="F66" t="str">
        <f>_xll.RssFOPMarket($E66,F$1)</f>
        <v/>
      </c>
      <c r="G66" t="str">
        <f>_xll.RssFOPMarket($E66,G$1)</f>
        <v/>
      </c>
      <c r="H66" t="str">
        <f>_xll.RssFOPMarket($E66,H$1)</f>
        <v/>
      </c>
      <c r="I66" t="str">
        <f>_xll.RssFOPMarket($E66,I$1)</f>
        <v/>
      </c>
      <c r="J66" t="str">
        <f>_xll.RssFOPMarket($E66,J$1)</f>
        <v/>
      </c>
      <c r="K66" t="str">
        <f>_xll.RssFOPMarket($E66,K$1)</f>
        <v/>
      </c>
      <c r="L66" t="str">
        <f>_xll.RssFOPMarket($E66,L$1)</f>
        <v/>
      </c>
      <c r="M66" t="str">
        <f>_xll.RssFOPMarket($E66,M$1)</f>
        <v/>
      </c>
      <c r="N66" t="str">
        <f>_xll.RssFOPMarket($E66,N$1)</f>
        <v/>
      </c>
      <c r="O66" t="str">
        <f>_xll.RssFOPMarket($E66,O$1)</f>
        <v/>
      </c>
      <c r="P66" t="str">
        <f>_xll.RssFOPMarket($E66,P$1)</f>
        <v/>
      </c>
      <c r="Q66" t="str">
        <f>_xll.RssFOPMarket($E66,Q$1)</f>
        <v/>
      </c>
    </row>
    <row r="67" spans="1:17" x14ac:dyDescent="0.4">
      <c r="A67" t="str">
        <f t="shared" si="0"/>
        <v>N225MOP</v>
      </c>
      <c r="B67" t="str">
        <f t="shared" si="0"/>
        <v>202311#1</v>
      </c>
      <c r="C67" t="str">
        <f t="shared" si="0"/>
        <v>C</v>
      </c>
      <c r="D67">
        <f t="shared" si="1"/>
        <v>28375</v>
      </c>
      <c r="E67" t="str">
        <f>_xll.RssFOPCode(A67,B67,IF(C67="C",1,IF(C67="P",2,"")),D67)</f>
        <v>マーケットスピード II にログインして「接続中」の状態に変更してから利用してください。</v>
      </c>
      <c r="F67" t="str">
        <f>_xll.RssFOPMarket($E67,F$1)</f>
        <v/>
      </c>
      <c r="G67" t="str">
        <f>_xll.RssFOPMarket($E67,G$1)</f>
        <v/>
      </c>
      <c r="H67" t="str">
        <f>_xll.RssFOPMarket($E67,H$1)</f>
        <v/>
      </c>
      <c r="I67" t="str">
        <f>_xll.RssFOPMarket($E67,I$1)</f>
        <v/>
      </c>
      <c r="J67" t="str">
        <f>_xll.RssFOPMarket($E67,J$1)</f>
        <v/>
      </c>
      <c r="K67" t="str">
        <f>_xll.RssFOPMarket($E67,K$1)</f>
        <v/>
      </c>
      <c r="L67" t="str">
        <f>_xll.RssFOPMarket($E67,L$1)</f>
        <v/>
      </c>
      <c r="M67" t="str">
        <f>_xll.RssFOPMarket($E67,M$1)</f>
        <v/>
      </c>
      <c r="N67" t="str">
        <f>_xll.RssFOPMarket($E67,N$1)</f>
        <v/>
      </c>
      <c r="O67" t="str">
        <f>_xll.RssFOPMarket($E67,O$1)</f>
        <v/>
      </c>
      <c r="P67" t="str">
        <f>_xll.RssFOPMarket($E67,P$1)</f>
        <v/>
      </c>
      <c r="Q67" t="str">
        <f>_xll.RssFOPMarket($E67,Q$1)</f>
        <v/>
      </c>
    </row>
    <row r="68" spans="1:17" x14ac:dyDescent="0.4">
      <c r="A68" t="str">
        <f>A67</f>
        <v>N225MOP</v>
      </c>
      <c r="B68" t="str">
        <f>B67</f>
        <v>202311#1</v>
      </c>
      <c r="C68" t="str">
        <f>C67</f>
        <v>C</v>
      </c>
      <c r="D68">
        <f>D67-125</f>
        <v>28250</v>
      </c>
      <c r="E68" t="str">
        <f>_xll.RssFOPCode(A68,B68,IF(C68="C",1,IF(C68="P",2,"")),D68)</f>
        <v>マーケットスピード II にログインして「接続中」の状態に変更してから利用してください。</v>
      </c>
      <c r="F68" t="str">
        <f>_xll.RssFOPMarket($E68,F$1)</f>
        <v/>
      </c>
      <c r="G68" t="str">
        <f>_xll.RssFOPMarket($E68,G$1)</f>
        <v/>
      </c>
      <c r="H68" t="str">
        <f>_xll.RssFOPMarket($E68,H$1)</f>
        <v/>
      </c>
      <c r="I68" t="str">
        <f>_xll.RssFOPMarket($E68,I$1)</f>
        <v/>
      </c>
      <c r="J68" t="str">
        <f>_xll.RssFOPMarket($E68,J$1)</f>
        <v/>
      </c>
      <c r="K68" t="str">
        <f>_xll.RssFOPMarket($E68,K$1)</f>
        <v/>
      </c>
      <c r="L68" t="str">
        <f>_xll.RssFOPMarket($E68,L$1)</f>
        <v/>
      </c>
      <c r="M68" t="str">
        <f>_xll.RssFOPMarket($E68,M$1)</f>
        <v/>
      </c>
      <c r="N68" t="str">
        <f>_xll.RssFOPMarket($E68,N$1)</f>
        <v/>
      </c>
      <c r="O68" t="str">
        <f>_xll.RssFOPMarket($E68,O$1)</f>
        <v/>
      </c>
      <c r="P68" t="str">
        <f>_xll.RssFOPMarket($E68,P$1)</f>
        <v/>
      </c>
      <c r="Q68" t="str">
        <f>_xll.RssFOPMarket($E68,Q$1)</f>
        <v/>
      </c>
    </row>
    <row r="101" spans="1:17" x14ac:dyDescent="0.4">
      <c r="A101" t="s">
        <v>23</v>
      </c>
      <c r="B101" t="s">
        <v>24</v>
      </c>
      <c r="C101" t="s">
        <v>13</v>
      </c>
      <c r="D101" t="s">
        <v>25</v>
      </c>
      <c r="E101" t="s">
        <v>26</v>
      </c>
      <c r="F101" t="s">
        <v>27</v>
      </c>
      <c r="G101" t="s">
        <v>28</v>
      </c>
      <c r="H101" t="s">
        <v>29</v>
      </c>
      <c r="I101" t="s">
        <v>30</v>
      </c>
      <c r="J101" t="s">
        <v>31</v>
      </c>
      <c r="K101" t="s">
        <v>32</v>
      </c>
      <c r="L101" t="s">
        <v>33</v>
      </c>
      <c r="M101" t="s">
        <v>34</v>
      </c>
      <c r="N101" t="s">
        <v>35</v>
      </c>
      <c r="O101" t="s">
        <v>36</v>
      </c>
      <c r="P101" t="s">
        <v>37</v>
      </c>
      <c r="Q101" t="s">
        <v>38</v>
      </c>
    </row>
    <row r="102" spans="1:17" x14ac:dyDescent="0.4">
      <c r="A102" t="s">
        <v>14</v>
      </c>
      <c r="B102" t="s">
        <v>20</v>
      </c>
      <c r="C102" t="s">
        <v>15</v>
      </c>
      <c r="D102">
        <v>36500</v>
      </c>
      <c r="E102" t="s">
        <v>90</v>
      </c>
    </row>
    <row r="103" spans="1:17" x14ac:dyDescent="0.4">
      <c r="A103" t="s">
        <v>14</v>
      </c>
      <c r="B103" t="s">
        <v>20</v>
      </c>
      <c r="C103" t="s">
        <v>15</v>
      </c>
      <c r="D103">
        <v>36375</v>
      </c>
      <c r="E103" t="s">
        <v>90</v>
      </c>
    </row>
    <row r="104" spans="1:17" x14ac:dyDescent="0.4">
      <c r="A104" t="s">
        <v>14</v>
      </c>
      <c r="B104" t="s">
        <v>20</v>
      </c>
      <c r="C104" t="s">
        <v>15</v>
      </c>
      <c r="D104">
        <v>36250</v>
      </c>
      <c r="E104" t="s">
        <v>90</v>
      </c>
    </row>
    <row r="105" spans="1:17" x14ac:dyDescent="0.4">
      <c r="A105" t="s">
        <v>14</v>
      </c>
      <c r="B105" t="s">
        <v>20</v>
      </c>
      <c r="C105" t="s">
        <v>15</v>
      </c>
      <c r="D105">
        <v>36125</v>
      </c>
      <c r="E105" t="s">
        <v>90</v>
      </c>
    </row>
    <row r="106" spans="1:17" x14ac:dyDescent="0.4">
      <c r="A106" t="s">
        <v>14</v>
      </c>
      <c r="B106" t="s">
        <v>20</v>
      </c>
      <c r="C106" t="s">
        <v>15</v>
      </c>
      <c r="D106">
        <v>36000</v>
      </c>
      <c r="E106" t="s">
        <v>90</v>
      </c>
    </row>
    <row r="107" spans="1:17" x14ac:dyDescent="0.4">
      <c r="A107" t="s">
        <v>14</v>
      </c>
      <c r="B107" t="s">
        <v>20</v>
      </c>
      <c r="C107" t="s">
        <v>15</v>
      </c>
      <c r="D107">
        <v>35875</v>
      </c>
      <c r="E107" t="s">
        <v>90</v>
      </c>
    </row>
    <row r="108" spans="1:17" x14ac:dyDescent="0.4">
      <c r="A108" t="s">
        <v>14</v>
      </c>
      <c r="B108" t="s">
        <v>20</v>
      </c>
      <c r="C108" t="s">
        <v>15</v>
      </c>
      <c r="D108">
        <v>35750</v>
      </c>
      <c r="E108" t="s">
        <v>90</v>
      </c>
    </row>
    <row r="109" spans="1:17" x14ac:dyDescent="0.4">
      <c r="A109" t="s">
        <v>14</v>
      </c>
      <c r="B109" t="s">
        <v>20</v>
      </c>
      <c r="C109" t="s">
        <v>15</v>
      </c>
      <c r="D109">
        <v>35625</v>
      </c>
      <c r="E109" t="s">
        <v>90</v>
      </c>
    </row>
    <row r="110" spans="1:17" x14ac:dyDescent="0.4">
      <c r="A110" t="s">
        <v>14</v>
      </c>
      <c r="B110" t="s">
        <v>20</v>
      </c>
      <c r="C110" t="s">
        <v>15</v>
      </c>
      <c r="D110">
        <v>35500</v>
      </c>
      <c r="E110" t="s">
        <v>90</v>
      </c>
    </row>
    <row r="111" spans="1:17" x14ac:dyDescent="0.4">
      <c r="A111" t="s">
        <v>14</v>
      </c>
      <c r="B111" t="s">
        <v>20</v>
      </c>
      <c r="C111" t="s">
        <v>15</v>
      </c>
      <c r="D111">
        <v>35375</v>
      </c>
      <c r="E111" t="s">
        <v>90</v>
      </c>
    </row>
    <row r="112" spans="1:17" x14ac:dyDescent="0.4">
      <c r="A112" t="s">
        <v>14</v>
      </c>
      <c r="B112" t="s">
        <v>20</v>
      </c>
      <c r="C112" t="s">
        <v>15</v>
      </c>
      <c r="D112">
        <v>35250</v>
      </c>
      <c r="E112" t="s">
        <v>90</v>
      </c>
    </row>
    <row r="113" spans="1:5" x14ac:dyDescent="0.4">
      <c r="A113" t="s">
        <v>14</v>
      </c>
      <c r="B113" t="s">
        <v>20</v>
      </c>
      <c r="C113" t="s">
        <v>15</v>
      </c>
      <c r="D113">
        <v>35125</v>
      </c>
      <c r="E113" t="s">
        <v>90</v>
      </c>
    </row>
    <row r="114" spans="1:5" x14ac:dyDescent="0.4">
      <c r="A114" t="s">
        <v>14</v>
      </c>
      <c r="B114" t="s">
        <v>20</v>
      </c>
      <c r="C114" t="s">
        <v>15</v>
      </c>
      <c r="D114">
        <v>35000</v>
      </c>
      <c r="E114" t="s">
        <v>90</v>
      </c>
    </row>
    <row r="115" spans="1:5" x14ac:dyDescent="0.4">
      <c r="A115" t="s">
        <v>14</v>
      </c>
      <c r="B115" t="s">
        <v>20</v>
      </c>
      <c r="C115" t="s">
        <v>15</v>
      </c>
      <c r="D115">
        <v>34875</v>
      </c>
      <c r="E115" t="s">
        <v>90</v>
      </c>
    </row>
    <row r="116" spans="1:5" x14ac:dyDescent="0.4">
      <c r="A116" t="s">
        <v>14</v>
      </c>
      <c r="B116" t="s">
        <v>20</v>
      </c>
      <c r="C116" t="s">
        <v>15</v>
      </c>
      <c r="D116">
        <v>34750</v>
      </c>
      <c r="E116" t="s">
        <v>90</v>
      </c>
    </row>
    <row r="117" spans="1:5" x14ac:dyDescent="0.4">
      <c r="A117" t="s">
        <v>14</v>
      </c>
      <c r="B117" t="s">
        <v>20</v>
      </c>
      <c r="C117" t="s">
        <v>15</v>
      </c>
      <c r="D117">
        <v>34625</v>
      </c>
      <c r="E117" t="s">
        <v>90</v>
      </c>
    </row>
    <row r="118" spans="1:5" x14ac:dyDescent="0.4">
      <c r="A118" t="s">
        <v>14</v>
      </c>
      <c r="B118" t="s">
        <v>20</v>
      </c>
      <c r="C118" t="s">
        <v>15</v>
      </c>
      <c r="D118">
        <v>34500</v>
      </c>
      <c r="E118" t="s">
        <v>90</v>
      </c>
    </row>
    <row r="119" spans="1:5" x14ac:dyDescent="0.4">
      <c r="A119" t="s">
        <v>14</v>
      </c>
      <c r="B119" t="s">
        <v>20</v>
      </c>
      <c r="C119" t="s">
        <v>15</v>
      </c>
      <c r="D119">
        <v>34375</v>
      </c>
      <c r="E119" t="s">
        <v>90</v>
      </c>
    </row>
    <row r="120" spans="1:5" x14ac:dyDescent="0.4">
      <c r="A120" t="s">
        <v>14</v>
      </c>
      <c r="B120" t="s">
        <v>20</v>
      </c>
      <c r="C120" t="s">
        <v>15</v>
      </c>
      <c r="D120">
        <v>34250</v>
      </c>
      <c r="E120" t="s">
        <v>90</v>
      </c>
    </row>
    <row r="121" spans="1:5" x14ac:dyDescent="0.4">
      <c r="A121" t="s">
        <v>14</v>
      </c>
      <c r="B121" t="s">
        <v>20</v>
      </c>
      <c r="C121" t="s">
        <v>15</v>
      </c>
      <c r="D121">
        <v>34125</v>
      </c>
      <c r="E121" t="s">
        <v>90</v>
      </c>
    </row>
    <row r="122" spans="1:5" x14ac:dyDescent="0.4">
      <c r="A122" t="s">
        <v>14</v>
      </c>
      <c r="B122" t="s">
        <v>20</v>
      </c>
      <c r="C122" t="s">
        <v>15</v>
      </c>
      <c r="D122">
        <v>34000</v>
      </c>
      <c r="E122" t="s">
        <v>90</v>
      </c>
    </row>
    <row r="123" spans="1:5" x14ac:dyDescent="0.4">
      <c r="A123" t="s">
        <v>14</v>
      </c>
      <c r="B123" t="s">
        <v>20</v>
      </c>
      <c r="C123" t="s">
        <v>15</v>
      </c>
      <c r="D123">
        <v>33875</v>
      </c>
      <c r="E123" t="s">
        <v>90</v>
      </c>
    </row>
    <row r="124" spans="1:5" x14ac:dyDescent="0.4">
      <c r="A124" t="s">
        <v>14</v>
      </c>
      <c r="B124" t="s">
        <v>20</v>
      </c>
      <c r="C124" t="s">
        <v>15</v>
      </c>
      <c r="D124">
        <v>33750</v>
      </c>
      <c r="E124" t="s">
        <v>90</v>
      </c>
    </row>
    <row r="125" spans="1:5" x14ac:dyDescent="0.4">
      <c r="A125" t="s">
        <v>14</v>
      </c>
      <c r="B125" t="s">
        <v>20</v>
      </c>
      <c r="C125" t="s">
        <v>15</v>
      </c>
      <c r="D125">
        <v>33625</v>
      </c>
      <c r="E125" t="s">
        <v>90</v>
      </c>
    </row>
    <row r="126" spans="1:5" x14ac:dyDescent="0.4">
      <c r="A126" t="s">
        <v>14</v>
      </c>
      <c r="B126" t="s">
        <v>20</v>
      </c>
      <c r="C126" t="s">
        <v>15</v>
      </c>
      <c r="D126">
        <v>33500</v>
      </c>
      <c r="E126" t="s">
        <v>90</v>
      </c>
    </row>
    <row r="127" spans="1:5" x14ac:dyDescent="0.4">
      <c r="A127" t="s">
        <v>14</v>
      </c>
      <c r="B127" t="s">
        <v>20</v>
      </c>
      <c r="C127" t="s">
        <v>15</v>
      </c>
      <c r="D127">
        <v>33375</v>
      </c>
      <c r="E127" t="s">
        <v>90</v>
      </c>
    </row>
    <row r="128" spans="1:5" x14ac:dyDescent="0.4">
      <c r="A128" t="s">
        <v>14</v>
      </c>
      <c r="B128" t="s">
        <v>20</v>
      </c>
      <c r="C128" t="s">
        <v>15</v>
      </c>
      <c r="D128">
        <v>33250</v>
      </c>
      <c r="E128" t="s">
        <v>90</v>
      </c>
    </row>
    <row r="129" spans="1:5" x14ac:dyDescent="0.4">
      <c r="A129" t="s">
        <v>14</v>
      </c>
      <c r="B129" t="s">
        <v>20</v>
      </c>
      <c r="C129" t="s">
        <v>15</v>
      </c>
      <c r="D129">
        <v>33125</v>
      </c>
      <c r="E129" t="s">
        <v>90</v>
      </c>
    </row>
    <row r="130" spans="1:5" x14ac:dyDescent="0.4">
      <c r="A130" t="s">
        <v>14</v>
      </c>
      <c r="B130" t="s">
        <v>20</v>
      </c>
      <c r="C130" t="s">
        <v>15</v>
      </c>
      <c r="D130">
        <v>33000</v>
      </c>
      <c r="E130" t="s">
        <v>90</v>
      </c>
    </row>
    <row r="131" spans="1:5" x14ac:dyDescent="0.4">
      <c r="A131" t="s">
        <v>14</v>
      </c>
      <c r="B131" t="s">
        <v>20</v>
      </c>
      <c r="C131" t="s">
        <v>15</v>
      </c>
      <c r="D131">
        <v>32875</v>
      </c>
      <c r="E131" t="s">
        <v>90</v>
      </c>
    </row>
    <row r="132" spans="1:5" x14ac:dyDescent="0.4">
      <c r="A132" t="s">
        <v>14</v>
      </c>
      <c r="B132" t="s">
        <v>20</v>
      </c>
      <c r="C132" t="s">
        <v>15</v>
      </c>
      <c r="D132">
        <v>32750</v>
      </c>
      <c r="E132" t="s">
        <v>90</v>
      </c>
    </row>
    <row r="133" spans="1:5" x14ac:dyDescent="0.4">
      <c r="A133" t="s">
        <v>14</v>
      </c>
      <c r="B133" t="s">
        <v>20</v>
      </c>
      <c r="C133" t="s">
        <v>15</v>
      </c>
      <c r="D133">
        <v>32625</v>
      </c>
      <c r="E133" t="s">
        <v>90</v>
      </c>
    </row>
    <row r="134" spans="1:5" x14ac:dyDescent="0.4">
      <c r="A134" t="s">
        <v>14</v>
      </c>
      <c r="B134" t="s">
        <v>20</v>
      </c>
      <c r="C134" t="s">
        <v>15</v>
      </c>
      <c r="D134">
        <v>32500</v>
      </c>
      <c r="E134" t="s">
        <v>90</v>
      </c>
    </row>
    <row r="135" spans="1:5" x14ac:dyDescent="0.4">
      <c r="A135" t="s">
        <v>14</v>
      </c>
      <c r="B135" t="s">
        <v>20</v>
      </c>
      <c r="C135" t="s">
        <v>15</v>
      </c>
      <c r="D135">
        <v>32375</v>
      </c>
      <c r="E135" t="s">
        <v>90</v>
      </c>
    </row>
    <row r="136" spans="1:5" x14ac:dyDescent="0.4">
      <c r="A136" t="s">
        <v>14</v>
      </c>
      <c r="B136" t="s">
        <v>20</v>
      </c>
      <c r="C136" t="s">
        <v>15</v>
      </c>
      <c r="D136">
        <v>32250</v>
      </c>
      <c r="E136" t="s">
        <v>90</v>
      </c>
    </row>
    <row r="137" spans="1:5" x14ac:dyDescent="0.4">
      <c r="A137" t="s">
        <v>14</v>
      </c>
      <c r="B137" t="s">
        <v>20</v>
      </c>
      <c r="C137" t="s">
        <v>15</v>
      </c>
      <c r="D137">
        <v>32125</v>
      </c>
      <c r="E137" t="s">
        <v>90</v>
      </c>
    </row>
    <row r="138" spans="1:5" x14ac:dyDescent="0.4">
      <c r="A138" t="s">
        <v>14</v>
      </c>
      <c r="B138" t="s">
        <v>20</v>
      </c>
      <c r="C138" t="s">
        <v>15</v>
      </c>
      <c r="D138">
        <v>32000</v>
      </c>
      <c r="E138" t="s">
        <v>90</v>
      </c>
    </row>
    <row r="139" spans="1:5" x14ac:dyDescent="0.4">
      <c r="A139" t="s">
        <v>14</v>
      </c>
      <c r="B139" t="s">
        <v>20</v>
      </c>
      <c r="C139" t="s">
        <v>15</v>
      </c>
      <c r="D139">
        <v>31875</v>
      </c>
      <c r="E139" t="s">
        <v>90</v>
      </c>
    </row>
    <row r="140" spans="1:5" x14ac:dyDescent="0.4">
      <c r="A140" t="s">
        <v>14</v>
      </c>
      <c r="B140" t="s">
        <v>20</v>
      </c>
      <c r="C140" t="s">
        <v>15</v>
      </c>
      <c r="D140">
        <v>31750</v>
      </c>
      <c r="E140" t="s">
        <v>90</v>
      </c>
    </row>
    <row r="141" spans="1:5" x14ac:dyDescent="0.4">
      <c r="A141" t="s">
        <v>14</v>
      </c>
      <c r="B141" t="s">
        <v>20</v>
      </c>
      <c r="C141" t="s">
        <v>15</v>
      </c>
      <c r="D141">
        <v>31625</v>
      </c>
      <c r="E141" t="s">
        <v>90</v>
      </c>
    </row>
    <row r="142" spans="1:5" x14ac:dyDescent="0.4">
      <c r="A142" t="s">
        <v>14</v>
      </c>
      <c r="B142" t="s">
        <v>20</v>
      </c>
      <c r="C142" t="s">
        <v>15</v>
      </c>
      <c r="D142">
        <v>31500</v>
      </c>
      <c r="E142" t="s">
        <v>90</v>
      </c>
    </row>
    <row r="143" spans="1:5" x14ac:dyDescent="0.4">
      <c r="A143" t="s">
        <v>14</v>
      </c>
      <c r="B143" t="s">
        <v>20</v>
      </c>
      <c r="C143" t="s">
        <v>15</v>
      </c>
      <c r="D143">
        <v>31375</v>
      </c>
      <c r="E143" t="s">
        <v>90</v>
      </c>
    </row>
    <row r="144" spans="1:5" x14ac:dyDescent="0.4">
      <c r="A144" t="s">
        <v>14</v>
      </c>
      <c r="B144" t="s">
        <v>20</v>
      </c>
      <c r="C144" t="s">
        <v>15</v>
      </c>
      <c r="D144">
        <v>31250</v>
      </c>
      <c r="E144" t="s">
        <v>90</v>
      </c>
    </row>
    <row r="145" spans="1:5" x14ac:dyDescent="0.4">
      <c r="A145" t="s">
        <v>14</v>
      </c>
      <c r="B145" t="s">
        <v>20</v>
      </c>
      <c r="C145" t="s">
        <v>15</v>
      </c>
      <c r="D145">
        <v>31125</v>
      </c>
      <c r="E145" t="s">
        <v>90</v>
      </c>
    </row>
    <row r="146" spans="1:5" x14ac:dyDescent="0.4">
      <c r="A146" t="s">
        <v>14</v>
      </c>
      <c r="B146" t="s">
        <v>20</v>
      </c>
      <c r="C146" t="s">
        <v>15</v>
      </c>
      <c r="D146">
        <v>31000</v>
      </c>
      <c r="E146" t="s">
        <v>90</v>
      </c>
    </row>
    <row r="147" spans="1:5" x14ac:dyDescent="0.4">
      <c r="A147" t="s">
        <v>14</v>
      </c>
      <c r="B147" t="s">
        <v>20</v>
      </c>
      <c r="C147" t="s">
        <v>15</v>
      </c>
      <c r="D147">
        <v>30875</v>
      </c>
      <c r="E147" t="s">
        <v>90</v>
      </c>
    </row>
    <row r="148" spans="1:5" x14ac:dyDescent="0.4">
      <c r="A148" t="s">
        <v>14</v>
      </c>
      <c r="B148" t="s">
        <v>20</v>
      </c>
      <c r="C148" t="s">
        <v>15</v>
      </c>
      <c r="D148">
        <v>30750</v>
      </c>
      <c r="E148" t="s">
        <v>90</v>
      </c>
    </row>
    <row r="149" spans="1:5" x14ac:dyDescent="0.4">
      <c r="A149" t="s">
        <v>14</v>
      </c>
      <c r="B149" t="s">
        <v>20</v>
      </c>
      <c r="C149" t="s">
        <v>15</v>
      </c>
      <c r="D149">
        <v>30625</v>
      </c>
      <c r="E149" t="s">
        <v>90</v>
      </c>
    </row>
    <row r="150" spans="1:5" x14ac:dyDescent="0.4">
      <c r="A150" t="s">
        <v>14</v>
      </c>
      <c r="B150" t="s">
        <v>20</v>
      </c>
      <c r="C150" t="s">
        <v>15</v>
      </c>
      <c r="D150">
        <v>30500</v>
      </c>
      <c r="E150" t="s">
        <v>90</v>
      </c>
    </row>
    <row r="151" spans="1:5" x14ac:dyDescent="0.4">
      <c r="A151" t="s">
        <v>14</v>
      </c>
      <c r="B151" t="s">
        <v>20</v>
      </c>
      <c r="C151" t="s">
        <v>15</v>
      </c>
      <c r="D151">
        <v>30375</v>
      </c>
      <c r="E151" t="s">
        <v>90</v>
      </c>
    </row>
    <row r="152" spans="1:5" x14ac:dyDescent="0.4">
      <c r="A152" t="s">
        <v>14</v>
      </c>
      <c r="B152" t="s">
        <v>20</v>
      </c>
      <c r="C152" t="s">
        <v>15</v>
      </c>
      <c r="D152">
        <v>30250</v>
      </c>
      <c r="E152" t="s">
        <v>90</v>
      </c>
    </row>
    <row r="153" spans="1:5" x14ac:dyDescent="0.4">
      <c r="A153" t="s">
        <v>14</v>
      </c>
      <c r="B153" t="s">
        <v>20</v>
      </c>
      <c r="C153" t="s">
        <v>15</v>
      </c>
      <c r="D153">
        <v>30125</v>
      </c>
      <c r="E153" t="s">
        <v>90</v>
      </c>
    </row>
    <row r="154" spans="1:5" x14ac:dyDescent="0.4">
      <c r="A154" t="s">
        <v>14</v>
      </c>
      <c r="B154" t="s">
        <v>20</v>
      </c>
      <c r="C154" t="s">
        <v>15</v>
      </c>
      <c r="D154">
        <v>30000</v>
      </c>
      <c r="E154" t="s">
        <v>90</v>
      </c>
    </row>
    <row r="155" spans="1:5" x14ac:dyDescent="0.4">
      <c r="A155" t="s">
        <v>14</v>
      </c>
      <c r="B155" t="s">
        <v>20</v>
      </c>
      <c r="C155" t="s">
        <v>15</v>
      </c>
      <c r="D155">
        <v>29875</v>
      </c>
      <c r="E155" t="s">
        <v>90</v>
      </c>
    </row>
    <row r="156" spans="1:5" x14ac:dyDescent="0.4">
      <c r="A156" t="s">
        <v>14</v>
      </c>
      <c r="B156" t="s">
        <v>20</v>
      </c>
      <c r="C156" t="s">
        <v>15</v>
      </c>
      <c r="D156">
        <v>29750</v>
      </c>
      <c r="E156" t="s">
        <v>90</v>
      </c>
    </row>
    <row r="157" spans="1:5" x14ac:dyDescent="0.4">
      <c r="A157" t="s">
        <v>14</v>
      </c>
      <c r="B157" t="s">
        <v>20</v>
      </c>
      <c r="C157" t="s">
        <v>15</v>
      </c>
      <c r="D157">
        <v>29625</v>
      </c>
      <c r="E157" t="s">
        <v>90</v>
      </c>
    </row>
    <row r="158" spans="1:5" x14ac:dyDescent="0.4">
      <c r="A158" t="s">
        <v>14</v>
      </c>
      <c r="B158" t="s">
        <v>20</v>
      </c>
      <c r="C158" t="s">
        <v>15</v>
      </c>
      <c r="D158">
        <v>29500</v>
      </c>
      <c r="E158" t="s">
        <v>90</v>
      </c>
    </row>
    <row r="159" spans="1:5" x14ac:dyDescent="0.4">
      <c r="A159" t="s">
        <v>14</v>
      </c>
      <c r="B159" t="s">
        <v>20</v>
      </c>
      <c r="C159" t="s">
        <v>15</v>
      </c>
      <c r="D159">
        <v>29375</v>
      </c>
      <c r="E159" t="s">
        <v>90</v>
      </c>
    </row>
    <row r="160" spans="1:5" x14ac:dyDescent="0.4">
      <c r="A160" t="s">
        <v>14</v>
      </c>
      <c r="B160" t="s">
        <v>20</v>
      </c>
      <c r="C160" t="s">
        <v>15</v>
      </c>
      <c r="D160">
        <v>29250</v>
      </c>
      <c r="E160" t="s">
        <v>90</v>
      </c>
    </row>
    <row r="161" spans="1:6" x14ac:dyDescent="0.4">
      <c r="A161" t="s">
        <v>14</v>
      </c>
      <c r="B161" t="s">
        <v>20</v>
      </c>
      <c r="C161" t="s">
        <v>15</v>
      </c>
      <c r="D161">
        <v>29125</v>
      </c>
      <c r="E161" t="s">
        <v>90</v>
      </c>
      <c r="F161" s="2"/>
    </row>
    <row r="162" spans="1:6" x14ac:dyDescent="0.4">
      <c r="A162" t="s">
        <v>14</v>
      </c>
      <c r="B162" t="s">
        <v>20</v>
      </c>
      <c r="C162" t="s">
        <v>15</v>
      </c>
      <c r="D162">
        <v>29000</v>
      </c>
      <c r="E162" t="s">
        <v>90</v>
      </c>
    </row>
    <row r="163" spans="1:6" x14ac:dyDescent="0.4">
      <c r="A163" t="s">
        <v>14</v>
      </c>
      <c r="B163" t="s">
        <v>20</v>
      </c>
      <c r="C163" t="s">
        <v>15</v>
      </c>
      <c r="D163">
        <v>28875</v>
      </c>
      <c r="E163" t="s">
        <v>90</v>
      </c>
    </row>
    <row r="164" spans="1:6" x14ac:dyDescent="0.4">
      <c r="A164" t="s">
        <v>14</v>
      </c>
      <c r="B164" t="s">
        <v>20</v>
      </c>
      <c r="C164" t="s">
        <v>15</v>
      </c>
      <c r="D164">
        <v>28750</v>
      </c>
      <c r="E164" t="s">
        <v>90</v>
      </c>
    </row>
    <row r="165" spans="1:6" x14ac:dyDescent="0.4">
      <c r="A165" t="s">
        <v>14</v>
      </c>
      <c r="B165" t="s">
        <v>20</v>
      </c>
      <c r="C165" t="s">
        <v>15</v>
      </c>
      <c r="D165">
        <v>28625</v>
      </c>
      <c r="E165" t="s">
        <v>90</v>
      </c>
    </row>
    <row r="166" spans="1:6" x14ac:dyDescent="0.4">
      <c r="A166" t="s">
        <v>14</v>
      </c>
      <c r="B166" t="s">
        <v>20</v>
      </c>
      <c r="C166" t="s">
        <v>15</v>
      </c>
      <c r="D166">
        <v>28500</v>
      </c>
      <c r="E166" t="s">
        <v>90</v>
      </c>
    </row>
    <row r="167" spans="1:6" x14ac:dyDescent="0.4">
      <c r="A167" t="s">
        <v>14</v>
      </c>
      <c r="B167" t="s">
        <v>20</v>
      </c>
      <c r="C167" t="s">
        <v>15</v>
      </c>
      <c r="D167">
        <v>28375</v>
      </c>
      <c r="E167" t="s">
        <v>90</v>
      </c>
    </row>
    <row r="168" spans="1:6" x14ac:dyDescent="0.4">
      <c r="A168" t="s">
        <v>14</v>
      </c>
      <c r="B168" t="s">
        <v>20</v>
      </c>
      <c r="C168" t="s">
        <v>15</v>
      </c>
      <c r="D168">
        <v>28250</v>
      </c>
      <c r="E168" t="s">
        <v>90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B4728-15CB-45D9-B8D9-4ED4A2516ED5}">
  <sheetPr codeName="Sheet10"/>
  <dimension ref="A1:Q168"/>
  <sheetViews>
    <sheetView workbookViewId="0">
      <pane ySplit="1" topLeftCell="A18" activePane="bottomLeft" state="frozen"/>
      <selection activeCell="B1" sqref="B1"/>
      <selection pane="bottomLeft" activeCell="Q1" sqref="Q1"/>
    </sheetView>
  </sheetViews>
  <sheetFormatPr defaultRowHeight="18.75" x14ac:dyDescent="0.4"/>
  <cols>
    <col min="1" max="1" width="10.25" bestFit="1" customWidth="1"/>
    <col min="2" max="2" width="9.625" bestFit="1" customWidth="1"/>
    <col min="3" max="3" width="4.875" bestFit="1" customWidth="1"/>
    <col min="4" max="4" width="9" bestFit="1" customWidth="1"/>
    <col min="5" max="5" width="12" customWidth="1"/>
  </cols>
  <sheetData>
    <row r="1" spans="1:17" x14ac:dyDescent="0.4">
      <c r="A1" t="s">
        <v>11</v>
      </c>
      <c r="B1" t="s">
        <v>12</v>
      </c>
      <c r="C1" t="s">
        <v>13</v>
      </c>
      <c r="D1" t="s">
        <v>0</v>
      </c>
      <c r="E1" t="s">
        <v>17</v>
      </c>
      <c r="F1" t="s">
        <v>2</v>
      </c>
      <c r="G1" t="s">
        <v>1</v>
      </c>
      <c r="H1" s="1" t="s">
        <v>21</v>
      </c>
      <c r="I1" t="s">
        <v>9</v>
      </c>
      <c r="J1" t="s">
        <v>10</v>
      </c>
      <c r="K1" t="s">
        <v>3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s="1" t="s">
        <v>22</v>
      </c>
    </row>
    <row r="2" spans="1:17" x14ac:dyDescent="0.4">
      <c r="A2" t="s">
        <v>14</v>
      </c>
      <c r="B2" t="s">
        <v>20</v>
      </c>
      <c r="C2" t="s">
        <v>16</v>
      </c>
      <c r="D2">
        <v>36500</v>
      </c>
      <c r="E2" t="str">
        <f>_xll.RssFOPCode(A2,B2,IF(C2="C",1,IF(C2="P",2,"")),D2)</f>
        <v>マーケットスピード II にログインして「接続中」の状態に変更してから利用してください。</v>
      </c>
      <c r="F2" t="str">
        <f>_xll.RssFOPMarket($E2,F$1)</f>
        <v/>
      </c>
      <c r="G2" t="str">
        <f>_xll.RssFOPMarket($E2,G$1)</f>
        <v/>
      </c>
      <c r="H2" t="str">
        <f>_xll.RssFOPMarket($E2,H$1)</f>
        <v/>
      </c>
      <c r="I2" t="str">
        <f>_xll.RssFOPMarket($E2,I$1)</f>
        <v/>
      </c>
      <c r="J2" t="str">
        <f>_xll.RssFOPMarket($E2,J$1)</f>
        <v/>
      </c>
      <c r="K2" t="str">
        <f>_xll.RssFOPMarket($E2,K$1)</f>
        <v/>
      </c>
      <c r="L2" t="str">
        <f>_xll.RssFOPMarket($E2,L$1)</f>
        <v/>
      </c>
      <c r="M2" t="str">
        <f>_xll.RssFOPMarket($E2,M$1)</f>
        <v/>
      </c>
      <c r="N2" t="str">
        <f>_xll.RssFOPMarket($E2,N$1)</f>
        <v/>
      </c>
      <c r="O2" t="str">
        <f>_xll.RssFOPMarket($E2,O$1)</f>
        <v/>
      </c>
      <c r="P2" t="str">
        <f>_xll.RssFOPMarket($E2,P$1)</f>
        <v/>
      </c>
      <c r="Q2" t="str">
        <f>_xll.RssFOPMarket($E2,Q$1)</f>
        <v/>
      </c>
    </row>
    <row r="3" spans="1:17" x14ac:dyDescent="0.4">
      <c r="A3" t="str">
        <f>A2</f>
        <v>N225MOP</v>
      </c>
      <c r="B3" t="str">
        <f>B2</f>
        <v>202311#1</v>
      </c>
      <c r="C3" t="str">
        <f>C2</f>
        <v>P</v>
      </c>
      <c r="D3">
        <f>D2-125</f>
        <v>36375</v>
      </c>
      <c r="E3" t="str">
        <f>_xll.RssFOPCode(A3,B3,IF(C3="C",1,IF(C3="P",2,"")),D3)</f>
        <v>マーケットスピード II にログインして「接続中」の状態に変更してから利用してください。</v>
      </c>
      <c r="F3" t="str">
        <f>_xll.RssFOPMarket($E3,F$1)</f>
        <v/>
      </c>
      <c r="G3" t="str">
        <f>_xll.RssFOPMarket($E3,G$1)</f>
        <v/>
      </c>
      <c r="H3" t="str">
        <f>_xll.RssFOPMarket($E3,H$1)</f>
        <v/>
      </c>
      <c r="I3" t="str">
        <f>_xll.RssFOPMarket($E3,I$1)</f>
        <v/>
      </c>
      <c r="J3" t="str">
        <f>_xll.RssFOPMarket($E3,J$1)</f>
        <v/>
      </c>
      <c r="K3" t="str">
        <f>_xll.RssFOPMarket($E3,K$1)</f>
        <v/>
      </c>
      <c r="L3" t="str">
        <f>_xll.RssFOPMarket($E3,L$1)</f>
        <v/>
      </c>
      <c r="M3" t="str">
        <f>_xll.RssFOPMarket($E3,M$1)</f>
        <v/>
      </c>
      <c r="N3" t="str">
        <f>_xll.RssFOPMarket($E3,N$1)</f>
        <v/>
      </c>
      <c r="O3" t="str">
        <f>_xll.RssFOPMarket($E3,O$1)</f>
        <v/>
      </c>
      <c r="P3" t="str">
        <f>_xll.RssFOPMarket($E3,P$1)</f>
        <v/>
      </c>
      <c r="Q3" t="str">
        <f>_xll.RssFOPMarket($E3,Q$1)</f>
        <v/>
      </c>
    </row>
    <row r="4" spans="1:17" x14ac:dyDescent="0.4">
      <c r="A4" t="str">
        <f t="shared" ref="A4:C67" si="0">A3</f>
        <v>N225MOP</v>
      </c>
      <c r="B4" t="str">
        <f t="shared" si="0"/>
        <v>202311#1</v>
      </c>
      <c r="C4" t="str">
        <f t="shared" si="0"/>
        <v>P</v>
      </c>
      <c r="D4">
        <f t="shared" ref="D4:D67" si="1">D3-125</f>
        <v>36250</v>
      </c>
      <c r="E4" t="str">
        <f>_xll.RssFOPCode(A4,B4,IF(C4="C",1,IF(C4="P",2,"")),D4)</f>
        <v>マーケットスピード II にログインして「接続中」の状態に変更してから利用してください。</v>
      </c>
      <c r="F4" t="str">
        <f>_xll.RssFOPMarket($E4,F$1)</f>
        <v/>
      </c>
      <c r="G4" t="str">
        <f>_xll.RssFOPMarket($E4,G$1)</f>
        <v/>
      </c>
      <c r="H4" t="str">
        <f>_xll.RssFOPMarket($E4,H$1)</f>
        <v/>
      </c>
      <c r="I4" t="str">
        <f>_xll.RssFOPMarket($E4,I$1)</f>
        <v/>
      </c>
      <c r="J4" t="str">
        <f>_xll.RssFOPMarket($E4,J$1)</f>
        <v/>
      </c>
      <c r="K4" t="str">
        <f>_xll.RssFOPMarket($E4,K$1)</f>
        <v/>
      </c>
      <c r="L4" t="str">
        <f>_xll.RssFOPMarket($E4,L$1)</f>
        <v/>
      </c>
      <c r="M4" t="str">
        <f>_xll.RssFOPMarket($E4,M$1)</f>
        <v/>
      </c>
      <c r="N4" t="str">
        <f>_xll.RssFOPMarket($E4,N$1)</f>
        <v/>
      </c>
      <c r="O4" t="str">
        <f>_xll.RssFOPMarket($E4,O$1)</f>
        <v/>
      </c>
      <c r="P4" t="str">
        <f>_xll.RssFOPMarket($E4,P$1)</f>
        <v/>
      </c>
      <c r="Q4" t="str">
        <f>_xll.RssFOPMarket($E4,Q$1)</f>
        <v/>
      </c>
    </row>
    <row r="5" spans="1:17" x14ac:dyDescent="0.4">
      <c r="A5" t="str">
        <f t="shared" si="0"/>
        <v>N225MOP</v>
      </c>
      <c r="B5" t="str">
        <f t="shared" si="0"/>
        <v>202311#1</v>
      </c>
      <c r="C5" t="str">
        <f t="shared" si="0"/>
        <v>P</v>
      </c>
      <c r="D5">
        <f t="shared" si="1"/>
        <v>36125</v>
      </c>
      <c r="E5" t="str">
        <f>_xll.RssFOPCode(A5,B5,IF(C5="C",1,IF(C5="P",2,"")),D5)</f>
        <v>マーケットスピード II にログインして「接続中」の状態に変更してから利用してください。</v>
      </c>
      <c r="F5" t="str">
        <f>_xll.RssFOPMarket($E5,F$1)</f>
        <v/>
      </c>
      <c r="G5" t="str">
        <f>_xll.RssFOPMarket($E5,G$1)</f>
        <v/>
      </c>
      <c r="H5" t="str">
        <f>_xll.RssFOPMarket($E5,H$1)</f>
        <v/>
      </c>
      <c r="I5" t="str">
        <f>_xll.RssFOPMarket($E5,I$1)</f>
        <v/>
      </c>
      <c r="J5" t="str">
        <f>_xll.RssFOPMarket($E5,J$1)</f>
        <v/>
      </c>
      <c r="K5" t="str">
        <f>_xll.RssFOPMarket($E5,K$1)</f>
        <v/>
      </c>
      <c r="L5" t="str">
        <f>_xll.RssFOPMarket($E5,L$1)</f>
        <v/>
      </c>
      <c r="M5" t="str">
        <f>_xll.RssFOPMarket($E5,M$1)</f>
        <v/>
      </c>
      <c r="N5" t="str">
        <f>_xll.RssFOPMarket($E5,N$1)</f>
        <v/>
      </c>
      <c r="O5" t="str">
        <f>_xll.RssFOPMarket($E5,O$1)</f>
        <v/>
      </c>
      <c r="P5" t="str">
        <f>_xll.RssFOPMarket($E5,P$1)</f>
        <v/>
      </c>
      <c r="Q5" t="str">
        <f>_xll.RssFOPMarket($E5,Q$1)</f>
        <v/>
      </c>
    </row>
    <row r="6" spans="1:17" x14ac:dyDescent="0.4">
      <c r="A6" t="str">
        <f t="shared" si="0"/>
        <v>N225MOP</v>
      </c>
      <c r="B6" t="str">
        <f t="shared" si="0"/>
        <v>202311#1</v>
      </c>
      <c r="C6" t="str">
        <f t="shared" si="0"/>
        <v>P</v>
      </c>
      <c r="D6">
        <f t="shared" si="1"/>
        <v>36000</v>
      </c>
      <c r="E6" t="str">
        <f>_xll.RssFOPCode(A6,B6,IF(C6="C",1,IF(C6="P",2,"")),D6)</f>
        <v>マーケットスピード II にログインして「接続中」の状態に変更してから利用してください。</v>
      </c>
      <c r="F6" t="str">
        <f>_xll.RssFOPMarket($E6,F$1)</f>
        <v/>
      </c>
      <c r="G6" t="str">
        <f>_xll.RssFOPMarket($E6,G$1)</f>
        <v/>
      </c>
      <c r="H6" t="str">
        <f>_xll.RssFOPMarket($E6,H$1)</f>
        <v/>
      </c>
      <c r="I6" t="str">
        <f>_xll.RssFOPMarket($E6,I$1)</f>
        <v/>
      </c>
      <c r="J6" t="str">
        <f>_xll.RssFOPMarket($E6,J$1)</f>
        <v/>
      </c>
      <c r="K6" t="str">
        <f>_xll.RssFOPMarket($E6,K$1)</f>
        <v/>
      </c>
      <c r="L6" t="str">
        <f>_xll.RssFOPMarket($E6,L$1)</f>
        <v/>
      </c>
      <c r="M6" t="str">
        <f>_xll.RssFOPMarket($E6,M$1)</f>
        <v/>
      </c>
      <c r="N6" t="str">
        <f>_xll.RssFOPMarket($E6,N$1)</f>
        <v/>
      </c>
      <c r="O6" t="str">
        <f>_xll.RssFOPMarket($E6,O$1)</f>
        <v/>
      </c>
      <c r="P6" t="str">
        <f>_xll.RssFOPMarket($E6,P$1)</f>
        <v/>
      </c>
      <c r="Q6" t="str">
        <f>_xll.RssFOPMarket($E6,Q$1)</f>
        <v/>
      </c>
    </row>
    <row r="7" spans="1:17" x14ac:dyDescent="0.4">
      <c r="A7" t="str">
        <f t="shared" si="0"/>
        <v>N225MOP</v>
      </c>
      <c r="B7" t="str">
        <f t="shared" si="0"/>
        <v>202311#1</v>
      </c>
      <c r="C7" t="str">
        <f t="shared" si="0"/>
        <v>P</v>
      </c>
      <c r="D7">
        <f t="shared" si="1"/>
        <v>35875</v>
      </c>
      <c r="E7" t="str">
        <f>_xll.RssFOPCode(A7,B7,IF(C7="C",1,IF(C7="P",2,"")),D7)</f>
        <v>マーケットスピード II にログインして「接続中」の状態に変更してから利用してください。</v>
      </c>
      <c r="F7" t="str">
        <f>_xll.RssFOPMarket($E7,F$1)</f>
        <v/>
      </c>
      <c r="G7" t="str">
        <f>_xll.RssFOPMarket($E7,G$1)</f>
        <v/>
      </c>
      <c r="H7" t="str">
        <f>_xll.RssFOPMarket($E7,H$1)</f>
        <v/>
      </c>
      <c r="I7" t="str">
        <f>_xll.RssFOPMarket($E7,I$1)</f>
        <v/>
      </c>
      <c r="J7" t="str">
        <f>_xll.RssFOPMarket($E7,J$1)</f>
        <v/>
      </c>
      <c r="K7" t="str">
        <f>_xll.RssFOPMarket($E7,K$1)</f>
        <v/>
      </c>
      <c r="L7" t="str">
        <f>_xll.RssFOPMarket($E7,L$1)</f>
        <v/>
      </c>
      <c r="M7" t="str">
        <f>_xll.RssFOPMarket($E7,M$1)</f>
        <v/>
      </c>
      <c r="N7" t="str">
        <f>_xll.RssFOPMarket($E7,N$1)</f>
        <v/>
      </c>
      <c r="O7" t="str">
        <f>_xll.RssFOPMarket($E7,O$1)</f>
        <v/>
      </c>
      <c r="P7" t="str">
        <f>_xll.RssFOPMarket($E7,P$1)</f>
        <v/>
      </c>
      <c r="Q7" t="str">
        <f>_xll.RssFOPMarket($E7,Q$1)</f>
        <v/>
      </c>
    </row>
    <row r="8" spans="1:17" x14ac:dyDescent="0.4">
      <c r="A8" t="str">
        <f t="shared" si="0"/>
        <v>N225MOP</v>
      </c>
      <c r="B8" t="str">
        <f t="shared" si="0"/>
        <v>202311#1</v>
      </c>
      <c r="C8" t="str">
        <f t="shared" si="0"/>
        <v>P</v>
      </c>
      <c r="D8">
        <f t="shared" si="1"/>
        <v>35750</v>
      </c>
      <c r="E8" t="str">
        <f>_xll.RssFOPCode(A8,B8,IF(C8="C",1,IF(C8="P",2,"")),D8)</f>
        <v>マーケットスピード II にログインして「接続中」の状態に変更してから利用してください。</v>
      </c>
      <c r="F8" t="str">
        <f>_xll.RssFOPMarket($E8,F$1)</f>
        <v/>
      </c>
      <c r="G8" t="str">
        <f>_xll.RssFOPMarket($E8,G$1)</f>
        <v/>
      </c>
      <c r="H8" t="str">
        <f>_xll.RssFOPMarket($E8,H$1)</f>
        <v/>
      </c>
      <c r="I8" t="str">
        <f>_xll.RssFOPMarket($E8,I$1)</f>
        <v/>
      </c>
      <c r="J8" t="str">
        <f>_xll.RssFOPMarket($E8,J$1)</f>
        <v/>
      </c>
      <c r="K8" t="str">
        <f>_xll.RssFOPMarket($E8,K$1)</f>
        <v/>
      </c>
      <c r="L8" t="str">
        <f>_xll.RssFOPMarket($E8,L$1)</f>
        <v/>
      </c>
      <c r="M8" t="str">
        <f>_xll.RssFOPMarket($E8,M$1)</f>
        <v/>
      </c>
      <c r="N8" t="str">
        <f>_xll.RssFOPMarket($E8,N$1)</f>
        <v/>
      </c>
      <c r="O8" t="str">
        <f>_xll.RssFOPMarket($E8,O$1)</f>
        <v/>
      </c>
      <c r="P8" t="str">
        <f>_xll.RssFOPMarket($E8,P$1)</f>
        <v/>
      </c>
      <c r="Q8" t="str">
        <f>_xll.RssFOPMarket($E8,Q$1)</f>
        <v/>
      </c>
    </row>
    <row r="9" spans="1:17" x14ac:dyDescent="0.4">
      <c r="A9" t="str">
        <f t="shared" si="0"/>
        <v>N225MOP</v>
      </c>
      <c r="B9" t="str">
        <f t="shared" si="0"/>
        <v>202311#1</v>
      </c>
      <c r="C9" t="str">
        <f t="shared" si="0"/>
        <v>P</v>
      </c>
      <c r="D9">
        <f t="shared" si="1"/>
        <v>35625</v>
      </c>
      <c r="E9" t="str">
        <f>_xll.RssFOPCode(A9,B9,IF(C9="C",1,IF(C9="P",2,"")),D9)</f>
        <v>マーケットスピード II にログインして「接続中」の状態に変更してから利用してください。</v>
      </c>
      <c r="F9" t="str">
        <f>_xll.RssFOPMarket($E9,F$1)</f>
        <v/>
      </c>
      <c r="G9" t="str">
        <f>_xll.RssFOPMarket($E9,G$1)</f>
        <v/>
      </c>
      <c r="H9" t="str">
        <f>_xll.RssFOPMarket($E9,H$1)</f>
        <v/>
      </c>
      <c r="I9" t="str">
        <f>_xll.RssFOPMarket($E9,I$1)</f>
        <v/>
      </c>
      <c r="J9" t="str">
        <f>_xll.RssFOPMarket($E9,J$1)</f>
        <v/>
      </c>
      <c r="K9" t="str">
        <f>_xll.RssFOPMarket($E9,K$1)</f>
        <v/>
      </c>
      <c r="L9" t="str">
        <f>_xll.RssFOPMarket($E9,L$1)</f>
        <v/>
      </c>
      <c r="M9" t="str">
        <f>_xll.RssFOPMarket($E9,M$1)</f>
        <v/>
      </c>
      <c r="N9" t="str">
        <f>_xll.RssFOPMarket($E9,N$1)</f>
        <v/>
      </c>
      <c r="O9" t="str">
        <f>_xll.RssFOPMarket($E9,O$1)</f>
        <v/>
      </c>
      <c r="P9" t="str">
        <f>_xll.RssFOPMarket($E9,P$1)</f>
        <v/>
      </c>
      <c r="Q9" t="str">
        <f>_xll.RssFOPMarket($E9,Q$1)</f>
        <v/>
      </c>
    </row>
    <row r="10" spans="1:17" x14ac:dyDescent="0.4">
      <c r="A10" t="str">
        <f t="shared" si="0"/>
        <v>N225MOP</v>
      </c>
      <c r="B10" t="str">
        <f t="shared" si="0"/>
        <v>202311#1</v>
      </c>
      <c r="C10" t="str">
        <f t="shared" si="0"/>
        <v>P</v>
      </c>
      <c r="D10">
        <f t="shared" si="1"/>
        <v>35500</v>
      </c>
      <c r="E10" t="str">
        <f>_xll.RssFOPCode(A10,B10,IF(C10="C",1,IF(C10="P",2,"")),D10)</f>
        <v>マーケットスピード II にログインして「接続中」の状態に変更してから利用してください。</v>
      </c>
      <c r="F10" t="str">
        <f>_xll.RssFOPMarket($E10,F$1)</f>
        <v/>
      </c>
      <c r="G10" t="str">
        <f>_xll.RssFOPMarket($E10,G$1)</f>
        <v/>
      </c>
      <c r="H10" t="str">
        <f>_xll.RssFOPMarket($E10,H$1)</f>
        <v/>
      </c>
      <c r="I10" t="str">
        <f>_xll.RssFOPMarket($E10,I$1)</f>
        <v/>
      </c>
      <c r="J10" t="str">
        <f>_xll.RssFOPMarket($E10,J$1)</f>
        <v/>
      </c>
      <c r="K10" t="str">
        <f>_xll.RssFOPMarket($E10,K$1)</f>
        <v/>
      </c>
      <c r="L10" t="str">
        <f>_xll.RssFOPMarket($E10,L$1)</f>
        <v/>
      </c>
      <c r="M10" t="str">
        <f>_xll.RssFOPMarket($E10,M$1)</f>
        <v/>
      </c>
      <c r="N10" t="str">
        <f>_xll.RssFOPMarket($E10,N$1)</f>
        <v/>
      </c>
      <c r="O10" t="str">
        <f>_xll.RssFOPMarket($E10,O$1)</f>
        <v/>
      </c>
      <c r="P10" t="str">
        <f>_xll.RssFOPMarket($E10,P$1)</f>
        <v/>
      </c>
      <c r="Q10" t="str">
        <f>_xll.RssFOPMarket($E10,Q$1)</f>
        <v/>
      </c>
    </row>
    <row r="11" spans="1:17" x14ac:dyDescent="0.4">
      <c r="A11" t="str">
        <f t="shared" si="0"/>
        <v>N225MOP</v>
      </c>
      <c r="B11" t="str">
        <f t="shared" si="0"/>
        <v>202311#1</v>
      </c>
      <c r="C11" t="str">
        <f t="shared" si="0"/>
        <v>P</v>
      </c>
      <c r="D11">
        <f t="shared" si="1"/>
        <v>35375</v>
      </c>
      <c r="E11" t="str">
        <f>_xll.RssFOPCode(A11,B11,IF(C11="C",1,IF(C11="P",2,"")),D11)</f>
        <v>マーケットスピード II にログインして「接続中」の状態に変更してから利用してください。</v>
      </c>
      <c r="F11" t="str">
        <f>_xll.RssFOPMarket($E11,F$1)</f>
        <v/>
      </c>
      <c r="G11" t="str">
        <f>_xll.RssFOPMarket($E11,G$1)</f>
        <v/>
      </c>
      <c r="H11" t="str">
        <f>_xll.RssFOPMarket($E11,H$1)</f>
        <v/>
      </c>
      <c r="I11" t="str">
        <f>_xll.RssFOPMarket($E11,I$1)</f>
        <v/>
      </c>
      <c r="J11" t="str">
        <f>_xll.RssFOPMarket($E11,J$1)</f>
        <v/>
      </c>
      <c r="K11" t="str">
        <f>_xll.RssFOPMarket($E11,K$1)</f>
        <v/>
      </c>
      <c r="L11" t="str">
        <f>_xll.RssFOPMarket($E11,L$1)</f>
        <v/>
      </c>
      <c r="M11" t="str">
        <f>_xll.RssFOPMarket($E11,M$1)</f>
        <v/>
      </c>
      <c r="N11" t="str">
        <f>_xll.RssFOPMarket($E11,N$1)</f>
        <v/>
      </c>
      <c r="O11" t="str">
        <f>_xll.RssFOPMarket($E11,O$1)</f>
        <v/>
      </c>
      <c r="P11" t="str">
        <f>_xll.RssFOPMarket($E11,P$1)</f>
        <v/>
      </c>
      <c r="Q11" t="str">
        <f>_xll.RssFOPMarket($E11,Q$1)</f>
        <v/>
      </c>
    </row>
    <row r="12" spans="1:17" x14ac:dyDescent="0.4">
      <c r="A12" t="str">
        <f t="shared" si="0"/>
        <v>N225MOP</v>
      </c>
      <c r="B12" t="str">
        <f t="shared" si="0"/>
        <v>202311#1</v>
      </c>
      <c r="C12" t="str">
        <f t="shared" si="0"/>
        <v>P</v>
      </c>
      <c r="D12">
        <f t="shared" si="1"/>
        <v>35250</v>
      </c>
      <c r="E12" t="str">
        <f>_xll.RssFOPCode(A12,B12,IF(C12="C",1,IF(C12="P",2,"")),D12)</f>
        <v>マーケットスピード II にログインして「接続中」の状態に変更してから利用してください。</v>
      </c>
      <c r="F12" t="str">
        <f>_xll.RssFOPMarket($E12,F$1)</f>
        <v/>
      </c>
      <c r="G12" t="str">
        <f>_xll.RssFOPMarket($E12,G$1)</f>
        <v/>
      </c>
      <c r="H12" t="str">
        <f>_xll.RssFOPMarket($E12,H$1)</f>
        <v/>
      </c>
      <c r="I12" t="str">
        <f>_xll.RssFOPMarket($E12,I$1)</f>
        <v/>
      </c>
      <c r="J12" t="str">
        <f>_xll.RssFOPMarket($E12,J$1)</f>
        <v/>
      </c>
      <c r="K12" t="str">
        <f>_xll.RssFOPMarket($E12,K$1)</f>
        <v/>
      </c>
      <c r="L12" t="str">
        <f>_xll.RssFOPMarket($E12,L$1)</f>
        <v/>
      </c>
      <c r="M12" t="str">
        <f>_xll.RssFOPMarket($E12,M$1)</f>
        <v/>
      </c>
      <c r="N12" t="str">
        <f>_xll.RssFOPMarket($E12,N$1)</f>
        <v/>
      </c>
      <c r="O12" t="str">
        <f>_xll.RssFOPMarket($E12,O$1)</f>
        <v/>
      </c>
      <c r="P12" t="str">
        <f>_xll.RssFOPMarket($E12,P$1)</f>
        <v/>
      </c>
      <c r="Q12" t="str">
        <f>_xll.RssFOPMarket($E12,Q$1)</f>
        <v/>
      </c>
    </row>
    <row r="13" spans="1:17" x14ac:dyDescent="0.4">
      <c r="A13" t="str">
        <f t="shared" si="0"/>
        <v>N225MOP</v>
      </c>
      <c r="B13" t="str">
        <f t="shared" si="0"/>
        <v>202311#1</v>
      </c>
      <c r="C13" t="str">
        <f t="shared" si="0"/>
        <v>P</v>
      </c>
      <c r="D13">
        <f t="shared" si="1"/>
        <v>35125</v>
      </c>
      <c r="E13" t="str">
        <f>_xll.RssFOPCode(A13,B13,IF(C13="C",1,IF(C13="P",2,"")),D13)</f>
        <v>マーケットスピード II にログインして「接続中」の状態に変更してから利用してください。</v>
      </c>
      <c r="F13" t="str">
        <f>_xll.RssFOPMarket($E13,F$1)</f>
        <v/>
      </c>
      <c r="G13" t="str">
        <f>_xll.RssFOPMarket($E13,G$1)</f>
        <v/>
      </c>
      <c r="H13" t="str">
        <f>_xll.RssFOPMarket($E13,H$1)</f>
        <v/>
      </c>
      <c r="I13" t="str">
        <f>_xll.RssFOPMarket($E13,I$1)</f>
        <v/>
      </c>
      <c r="J13" t="str">
        <f>_xll.RssFOPMarket($E13,J$1)</f>
        <v/>
      </c>
      <c r="K13" t="str">
        <f>_xll.RssFOPMarket($E13,K$1)</f>
        <v/>
      </c>
      <c r="L13" t="str">
        <f>_xll.RssFOPMarket($E13,L$1)</f>
        <v/>
      </c>
      <c r="M13" t="str">
        <f>_xll.RssFOPMarket($E13,M$1)</f>
        <v/>
      </c>
      <c r="N13" t="str">
        <f>_xll.RssFOPMarket($E13,N$1)</f>
        <v/>
      </c>
      <c r="O13" t="str">
        <f>_xll.RssFOPMarket($E13,O$1)</f>
        <v/>
      </c>
      <c r="P13" t="str">
        <f>_xll.RssFOPMarket($E13,P$1)</f>
        <v/>
      </c>
      <c r="Q13" t="str">
        <f>_xll.RssFOPMarket($E13,Q$1)</f>
        <v/>
      </c>
    </row>
    <row r="14" spans="1:17" x14ac:dyDescent="0.4">
      <c r="A14" t="str">
        <f t="shared" si="0"/>
        <v>N225MOP</v>
      </c>
      <c r="B14" t="str">
        <f t="shared" si="0"/>
        <v>202311#1</v>
      </c>
      <c r="C14" t="str">
        <f t="shared" si="0"/>
        <v>P</v>
      </c>
      <c r="D14">
        <f t="shared" si="1"/>
        <v>35000</v>
      </c>
      <c r="E14" t="str">
        <f>_xll.RssFOPCode(A14,B14,IF(C14="C",1,IF(C14="P",2,"")),D14)</f>
        <v>マーケットスピード II にログインして「接続中」の状態に変更してから利用してください。</v>
      </c>
      <c r="F14" t="str">
        <f>_xll.RssFOPMarket($E14,F$1)</f>
        <v/>
      </c>
      <c r="G14" t="str">
        <f>_xll.RssFOPMarket($E14,G$1)</f>
        <v/>
      </c>
      <c r="H14" t="str">
        <f>_xll.RssFOPMarket($E14,H$1)</f>
        <v/>
      </c>
      <c r="I14" t="str">
        <f>_xll.RssFOPMarket($E14,I$1)</f>
        <v/>
      </c>
      <c r="J14" t="str">
        <f>_xll.RssFOPMarket($E14,J$1)</f>
        <v/>
      </c>
      <c r="K14" t="str">
        <f>_xll.RssFOPMarket($E14,K$1)</f>
        <v/>
      </c>
      <c r="L14" t="str">
        <f>_xll.RssFOPMarket($E14,L$1)</f>
        <v/>
      </c>
      <c r="M14" t="str">
        <f>_xll.RssFOPMarket($E14,M$1)</f>
        <v/>
      </c>
      <c r="N14" t="str">
        <f>_xll.RssFOPMarket($E14,N$1)</f>
        <v/>
      </c>
      <c r="O14" t="str">
        <f>_xll.RssFOPMarket($E14,O$1)</f>
        <v/>
      </c>
      <c r="P14" t="str">
        <f>_xll.RssFOPMarket($E14,P$1)</f>
        <v/>
      </c>
      <c r="Q14" t="str">
        <f>_xll.RssFOPMarket($E14,Q$1)</f>
        <v/>
      </c>
    </row>
    <row r="15" spans="1:17" x14ac:dyDescent="0.4">
      <c r="A15" t="str">
        <f t="shared" si="0"/>
        <v>N225MOP</v>
      </c>
      <c r="B15" t="str">
        <f t="shared" si="0"/>
        <v>202311#1</v>
      </c>
      <c r="C15" t="str">
        <f t="shared" si="0"/>
        <v>P</v>
      </c>
      <c r="D15">
        <f t="shared" si="1"/>
        <v>34875</v>
      </c>
      <c r="E15" t="str">
        <f>_xll.RssFOPCode(A15,B15,IF(C15="C",1,IF(C15="P",2,"")),D15)</f>
        <v>マーケットスピード II にログインして「接続中」の状態に変更してから利用してください。</v>
      </c>
      <c r="F15" t="str">
        <f>_xll.RssFOPMarket($E15,F$1)</f>
        <v/>
      </c>
      <c r="G15" t="str">
        <f>_xll.RssFOPMarket($E15,G$1)</f>
        <v/>
      </c>
      <c r="H15" t="str">
        <f>_xll.RssFOPMarket($E15,H$1)</f>
        <v/>
      </c>
      <c r="I15" t="str">
        <f>_xll.RssFOPMarket($E15,I$1)</f>
        <v/>
      </c>
      <c r="J15" t="str">
        <f>_xll.RssFOPMarket($E15,J$1)</f>
        <v/>
      </c>
      <c r="K15" t="str">
        <f>_xll.RssFOPMarket($E15,K$1)</f>
        <v/>
      </c>
      <c r="L15" t="str">
        <f>_xll.RssFOPMarket($E15,L$1)</f>
        <v/>
      </c>
      <c r="M15" t="str">
        <f>_xll.RssFOPMarket($E15,M$1)</f>
        <v/>
      </c>
      <c r="N15" t="str">
        <f>_xll.RssFOPMarket($E15,N$1)</f>
        <v/>
      </c>
      <c r="O15" t="str">
        <f>_xll.RssFOPMarket($E15,O$1)</f>
        <v/>
      </c>
      <c r="P15" t="str">
        <f>_xll.RssFOPMarket($E15,P$1)</f>
        <v/>
      </c>
      <c r="Q15" t="str">
        <f>_xll.RssFOPMarket($E15,Q$1)</f>
        <v/>
      </c>
    </row>
    <row r="16" spans="1:17" x14ac:dyDescent="0.4">
      <c r="A16" t="str">
        <f t="shared" si="0"/>
        <v>N225MOP</v>
      </c>
      <c r="B16" t="str">
        <f t="shared" si="0"/>
        <v>202311#1</v>
      </c>
      <c r="C16" t="str">
        <f t="shared" si="0"/>
        <v>P</v>
      </c>
      <c r="D16">
        <f t="shared" si="1"/>
        <v>34750</v>
      </c>
      <c r="E16" t="str">
        <f>_xll.RssFOPCode(A16,B16,IF(C16="C",1,IF(C16="P",2,"")),D16)</f>
        <v>マーケットスピード II にログインして「接続中」の状態に変更してから利用してください。</v>
      </c>
      <c r="F16" t="str">
        <f>_xll.RssFOPMarket($E16,F$1)</f>
        <v/>
      </c>
      <c r="G16" t="str">
        <f>_xll.RssFOPMarket($E16,G$1)</f>
        <v/>
      </c>
      <c r="H16" t="str">
        <f>_xll.RssFOPMarket($E16,H$1)</f>
        <v/>
      </c>
      <c r="I16" t="str">
        <f>_xll.RssFOPMarket($E16,I$1)</f>
        <v/>
      </c>
      <c r="J16" t="str">
        <f>_xll.RssFOPMarket($E16,J$1)</f>
        <v/>
      </c>
      <c r="K16" t="str">
        <f>_xll.RssFOPMarket($E16,K$1)</f>
        <v/>
      </c>
      <c r="L16" t="str">
        <f>_xll.RssFOPMarket($E16,L$1)</f>
        <v/>
      </c>
      <c r="M16" t="str">
        <f>_xll.RssFOPMarket($E16,M$1)</f>
        <v/>
      </c>
      <c r="N16" t="str">
        <f>_xll.RssFOPMarket($E16,N$1)</f>
        <v/>
      </c>
      <c r="O16" t="str">
        <f>_xll.RssFOPMarket($E16,O$1)</f>
        <v/>
      </c>
      <c r="P16" t="str">
        <f>_xll.RssFOPMarket($E16,P$1)</f>
        <v/>
      </c>
      <c r="Q16" t="str">
        <f>_xll.RssFOPMarket($E16,Q$1)</f>
        <v/>
      </c>
    </row>
    <row r="17" spans="1:17" x14ac:dyDescent="0.4">
      <c r="A17" t="str">
        <f t="shared" si="0"/>
        <v>N225MOP</v>
      </c>
      <c r="B17" t="str">
        <f t="shared" si="0"/>
        <v>202311#1</v>
      </c>
      <c r="C17" t="str">
        <f t="shared" si="0"/>
        <v>P</v>
      </c>
      <c r="D17">
        <f t="shared" si="1"/>
        <v>34625</v>
      </c>
      <c r="E17" t="str">
        <f>_xll.RssFOPCode(A17,B17,IF(C17="C",1,IF(C17="P",2,"")),D17)</f>
        <v>マーケットスピード II にログインして「接続中」の状態に変更してから利用してください。</v>
      </c>
      <c r="F17" t="str">
        <f>_xll.RssFOPMarket($E17,F$1)</f>
        <v/>
      </c>
      <c r="G17" t="str">
        <f>_xll.RssFOPMarket($E17,G$1)</f>
        <v/>
      </c>
      <c r="H17" t="str">
        <f>_xll.RssFOPMarket($E17,H$1)</f>
        <v/>
      </c>
      <c r="I17" t="str">
        <f>_xll.RssFOPMarket($E17,I$1)</f>
        <v/>
      </c>
      <c r="J17" t="str">
        <f>_xll.RssFOPMarket($E17,J$1)</f>
        <v/>
      </c>
      <c r="K17" t="str">
        <f>_xll.RssFOPMarket($E17,K$1)</f>
        <v/>
      </c>
      <c r="L17" t="str">
        <f>_xll.RssFOPMarket($E17,L$1)</f>
        <v/>
      </c>
      <c r="M17" t="str">
        <f>_xll.RssFOPMarket($E17,M$1)</f>
        <v/>
      </c>
      <c r="N17" t="str">
        <f>_xll.RssFOPMarket($E17,N$1)</f>
        <v/>
      </c>
      <c r="O17" t="str">
        <f>_xll.RssFOPMarket($E17,O$1)</f>
        <v/>
      </c>
      <c r="P17" t="str">
        <f>_xll.RssFOPMarket($E17,P$1)</f>
        <v/>
      </c>
      <c r="Q17" t="str">
        <f>_xll.RssFOPMarket($E17,Q$1)</f>
        <v/>
      </c>
    </row>
    <row r="18" spans="1:17" x14ac:dyDescent="0.4">
      <c r="A18" t="str">
        <f t="shared" si="0"/>
        <v>N225MOP</v>
      </c>
      <c r="B18" t="str">
        <f t="shared" si="0"/>
        <v>202311#1</v>
      </c>
      <c r="C18" t="str">
        <f t="shared" si="0"/>
        <v>P</v>
      </c>
      <c r="D18">
        <f t="shared" si="1"/>
        <v>34500</v>
      </c>
      <c r="E18" t="str">
        <f>_xll.RssFOPCode(A18,B18,IF(C18="C",1,IF(C18="P",2,"")),D18)</f>
        <v>マーケットスピード II にログインして「接続中」の状態に変更してから利用してください。</v>
      </c>
      <c r="F18" t="str">
        <f>_xll.RssFOPMarket($E18,F$1)</f>
        <v/>
      </c>
      <c r="G18" t="str">
        <f>_xll.RssFOPMarket($E18,G$1)</f>
        <v/>
      </c>
      <c r="H18" t="str">
        <f>_xll.RssFOPMarket($E18,H$1)</f>
        <v/>
      </c>
      <c r="I18" t="str">
        <f>_xll.RssFOPMarket($E18,I$1)</f>
        <v/>
      </c>
      <c r="J18" t="str">
        <f>_xll.RssFOPMarket($E18,J$1)</f>
        <v/>
      </c>
      <c r="K18" t="str">
        <f>_xll.RssFOPMarket($E18,K$1)</f>
        <v/>
      </c>
      <c r="L18" t="str">
        <f>_xll.RssFOPMarket($E18,L$1)</f>
        <v/>
      </c>
      <c r="M18" t="str">
        <f>_xll.RssFOPMarket($E18,M$1)</f>
        <v/>
      </c>
      <c r="N18" t="str">
        <f>_xll.RssFOPMarket($E18,N$1)</f>
        <v/>
      </c>
      <c r="O18" t="str">
        <f>_xll.RssFOPMarket($E18,O$1)</f>
        <v/>
      </c>
      <c r="P18" t="str">
        <f>_xll.RssFOPMarket($E18,P$1)</f>
        <v/>
      </c>
      <c r="Q18" t="str">
        <f>_xll.RssFOPMarket($E18,Q$1)</f>
        <v/>
      </c>
    </row>
    <row r="19" spans="1:17" x14ac:dyDescent="0.4">
      <c r="A19" t="str">
        <f t="shared" si="0"/>
        <v>N225MOP</v>
      </c>
      <c r="B19" t="str">
        <f t="shared" si="0"/>
        <v>202311#1</v>
      </c>
      <c r="C19" t="str">
        <f t="shared" si="0"/>
        <v>P</v>
      </c>
      <c r="D19">
        <f t="shared" si="1"/>
        <v>34375</v>
      </c>
      <c r="E19" t="str">
        <f>_xll.RssFOPCode(A19,B19,IF(C19="C",1,IF(C19="P",2,"")),D19)</f>
        <v>マーケットスピード II にログインして「接続中」の状態に変更してから利用してください。</v>
      </c>
      <c r="F19" t="str">
        <f>_xll.RssFOPMarket($E19,F$1)</f>
        <v/>
      </c>
      <c r="G19" t="str">
        <f>_xll.RssFOPMarket($E19,G$1)</f>
        <v/>
      </c>
      <c r="H19" t="str">
        <f>_xll.RssFOPMarket($E19,H$1)</f>
        <v/>
      </c>
      <c r="I19" t="str">
        <f>_xll.RssFOPMarket($E19,I$1)</f>
        <v/>
      </c>
      <c r="J19" t="str">
        <f>_xll.RssFOPMarket($E19,J$1)</f>
        <v/>
      </c>
      <c r="K19" t="str">
        <f>_xll.RssFOPMarket($E19,K$1)</f>
        <v/>
      </c>
      <c r="L19" t="str">
        <f>_xll.RssFOPMarket($E19,L$1)</f>
        <v/>
      </c>
      <c r="M19" t="str">
        <f>_xll.RssFOPMarket($E19,M$1)</f>
        <v/>
      </c>
      <c r="N19" t="str">
        <f>_xll.RssFOPMarket($E19,N$1)</f>
        <v/>
      </c>
      <c r="O19" t="str">
        <f>_xll.RssFOPMarket($E19,O$1)</f>
        <v/>
      </c>
      <c r="P19" t="str">
        <f>_xll.RssFOPMarket($E19,P$1)</f>
        <v/>
      </c>
      <c r="Q19" t="str">
        <f>_xll.RssFOPMarket($E19,Q$1)</f>
        <v/>
      </c>
    </row>
    <row r="20" spans="1:17" x14ac:dyDescent="0.4">
      <c r="A20" t="str">
        <f t="shared" si="0"/>
        <v>N225MOP</v>
      </c>
      <c r="B20" t="str">
        <f t="shared" si="0"/>
        <v>202311#1</v>
      </c>
      <c r="C20" t="str">
        <f t="shared" si="0"/>
        <v>P</v>
      </c>
      <c r="D20">
        <f t="shared" si="1"/>
        <v>34250</v>
      </c>
      <c r="E20" t="str">
        <f>_xll.RssFOPCode(A20,B20,IF(C20="C",1,IF(C20="P",2,"")),D20)</f>
        <v>マーケットスピード II にログインして「接続中」の状態に変更してから利用してください。</v>
      </c>
      <c r="F20" t="str">
        <f>_xll.RssFOPMarket($E20,F$1)</f>
        <v/>
      </c>
      <c r="G20" t="str">
        <f>_xll.RssFOPMarket($E20,G$1)</f>
        <v/>
      </c>
      <c r="H20" t="str">
        <f>_xll.RssFOPMarket($E20,H$1)</f>
        <v/>
      </c>
      <c r="I20" t="str">
        <f>_xll.RssFOPMarket($E20,I$1)</f>
        <v/>
      </c>
      <c r="J20" t="str">
        <f>_xll.RssFOPMarket($E20,J$1)</f>
        <v/>
      </c>
      <c r="K20" t="str">
        <f>_xll.RssFOPMarket($E20,K$1)</f>
        <v/>
      </c>
      <c r="L20" t="str">
        <f>_xll.RssFOPMarket($E20,L$1)</f>
        <v/>
      </c>
      <c r="M20" t="str">
        <f>_xll.RssFOPMarket($E20,M$1)</f>
        <v/>
      </c>
      <c r="N20" t="str">
        <f>_xll.RssFOPMarket($E20,N$1)</f>
        <v/>
      </c>
      <c r="O20" t="str">
        <f>_xll.RssFOPMarket($E20,O$1)</f>
        <v/>
      </c>
      <c r="P20" t="str">
        <f>_xll.RssFOPMarket($E20,P$1)</f>
        <v/>
      </c>
      <c r="Q20" t="str">
        <f>_xll.RssFOPMarket($E20,Q$1)</f>
        <v/>
      </c>
    </row>
    <row r="21" spans="1:17" x14ac:dyDescent="0.4">
      <c r="A21" t="str">
        <f t="shared" si="0"/>
        <v>N225MOP</v>
      </c>
      <c r="B21" t="str">
        <f t="shared" si="0"/>
        <v>202311#1</v>
      </c>
      <c r="C21" t="str">
        <f t="shared" si="0"/>
        <v>P</v>
      </c>
      <c r="D21">
        <f t="shared" si="1"/>
        <v>34125</v>
      </c>
      <c r="E21" t="str">
        <f>_xll.RssFOPCode(A21,B21,IF(C21="C",1,IF(C21="P",2,"")),D21)</f>
        <v>マーケットスピード II にログインして「接続中」の状態に変更してから利用してください。</v>
      </c>
      <c r="F21" t="str">
        <f>_xll.RssFOPMarket($E21,F$1)</f>
        <v/>
      </c>
      <c r="G21" t="str">
        <f>_xll.RssFOPMarket($E21,G$1)</f>
        <v/>
      </c>
      <c r="H21" t="str">
        <f>_xll.RssFOPMarket($E21,H$1)</f>
        <v/>
      </c>
      <c r="I21" t="str">
        <f>_xll.RssFOPMarket($E21,I$1)</f>
        <v/>
      </c>
      <c r="J21" t="str">
        <f>_xll.RssFOPMarket($E21,J$1)</f>
        <v/>
      </c>
      <c r="K21" t="str">
        <f>_xll.RssFOPMarket($E21,K$1)</f>
        <v/>
      </c>
      <c r="L21" t="str">
        <f>_xll.RssFOPMarket($E21,L$1)</f>
        <v/>
      </c>
      <c r="M21" t="str">
        <f>_xll.RssFOPMarket($E21,M$1)</f>
        <v/>
      </c>
      <c r="N21" t="str">
        <f>_xll.RssFOPMarket($E21,N$1)</f>
        <v/>
      </c>
      <c r="O21" t="str">
        <f>_xll.RssFOPMarket($E21,O$1)</f>
        <v/>
      </c>
      <c r="P21" t="str">
        <f>_xll.RssFOPMarket($E21,P$1)</f>
        <v/>
      </c>
      <c r="Q21" t="str">
        <f>_xll.RssFOPMarket($E21,Q$1)</f>
        <v/>
      </c>
    </row>
    <row r="22" spans="1:17" x14ac:dyDescent="0.4">
      <c r="A22" t="str">
        <f t="shared" si="0"/>
        <v>N225MOP</v>
      </c>
      <c r="B22" t="str">
        <f t="shared" si="0"/>
        <v>202311#1</v>
      </c>
      <c r="C22" t="str">
        <f t="shared" si="0"/>
        <v>P</v>
      </c>
      <c r="D22">
        <f t="shared" si="1"/>
        <v>34000</v>
      </c>
      <c r="E22" t="str">
        <f>_xll.RssFOPCode(A22,B22,IF(C22="C",1,IF(C22="P",2,"")),D22)</f>
        <v>マーケットスピード II にログインして「接続中」の状態に変更してから利用してください。</v>
      </c>
      <c r="F22" t="str">
        <f>_xll.RssFOPMarket($E22,F$1)</f>
        <v/>
      </c>
      <c r="G22" t="str">
        <f>_xll.RssFOPMarket($E22,G$1)</f>
        <v/>
      </c>
      <c r="H22" t="str">
        <f>_xll.RssFOPMarket($E22,H$1)</f>
        <v/>
      </c>
      <c r="I22" t="str">
        <f>_xll.RssFOPMarket($E22,I$1)</f>
        <v/>
      </c>
      <c r="J22" t="str">
        <f>_xll.RssFOPMarket($E22,J$1)</f>
        <v/>
      </c>
      <c r="K22" t="str">
        <f>_xll.RssFOPMarket($E22,K$1)</f>
        <v/>
      </c>
      <c r="L22" t="str">
        <f>_xll.RssFOPMarket($E22,L$1)</f>
        <v/>
      </c>
      <c r="M22" t="str">
        <f>_xll.RssFOPMarket($E22,M$1)</f>
        <v/>
      </c>
      <c r="N22" t="str">
        <f>_xll.RssFOPMarket($E22,N$1)</f>
        <v/>
      </c>
      <c r="O22" t="str">
        <f>_xll.RssFOPMarket($E22,O$1)</f>
        <v/>
      </c>
      <c r="P22" t="str">
        <f>_xll.RssFOPMarket($E22,P$1)</f>
        <v/>
      </c>
      <c r="Q22" t="str">
        <f>_xll.RssFOPMarket($E22,Q$1)</f>
        <v/>
      </c>
    </row>
    <row r="23" spans="1:17" x14ac:dyDescent="0.4">
      <c r="A23" t="str">
        <f t="shared" si="0"/>
        <v>N225MOP</v>
      </c>
      <c r="B23" t="str">
        <f t="shared" si="0"/>
        <v>202311#1</v>
      </c>
      <c r="C23" t="str">
        <f t="shared" si="0"/>
        <v>P</v>
      </c>
      <c r="D23">
        <f t="shared" si="1"/>
        <v>33875</v>
      </c>
      <c r="E23" t="str">
        <f>_xll.RssFOPCode(A23,B23,IF(C23="C",1,IF(C23="P",2,"")),D23)</f>
        <v>マーケットスピード II にログインして「接続中」の状態に変更してから利用してください。</v>
      </c>
      <c r="F23" t="str">
        <f>_xll.RssFOPMarket($E23,F$1)</f>
        <v/>
      </c>
      <c r="G23" t="str">
        <f>_xll.RssFOPMarket($E23,G$1)</f>
        <v/>
      </c>
      <c r="H23" t="str">
        <f>_xll.RssFOPMarket($E23,H$1)</f>
        <v/>
      </c>
      <c r="I23" t="str">
        <f>_xll.RssFOPMarket($E23,I$1)</f>
        <v/>
      </c>
      <c r="J23" t="str">
        <f>_xll.RssFOPMarket($E23,J$1)</f>
        <v/>
      </c>
      <c r="K23" t="str">
        <f>_xll.RssFOPMarket($E23,K$1)</f>
        <v/>
      </c>
      <c r="L23" t="str">
        <f>_xll.RssFOPMarket($E23,L$1)</f>
        <v/>
      </c>
      <c r="M23" t="str">
        <f>_xll.RssFOPMarket($E23,M$1)</f>
        <v/>
      </c>
      <c r="N23" t="str">
        <f>_xll.RssFOPMarket($E23,N$1)</f>
        <v/>
      </c>
      <c r="O23" t="str">
        <f>_xll.RssFOPMarket($E23,O$1)</f>
        <v/>
      </c>
      <c r="P23" t="str">
        <f>_xll.RssFOPMarket($E23,P$1)</f>
        <v/>
      </c>
      <c r="Q23" t="str">
        <f>_xll.RssFOPMarket($E23,Q$1)</f>
        <v/>
      </c>
    </row>
    <row r="24" spans="1:17" x14ac:dyDescent="0.4">
      <c r="A24" t="str">
        <f t="shared" si="0"/>
        <v>N225MOP</v>
      </c>
      <c r="B24" t="str">
        <f t="shared" si="0"/>
        <v>202311#1</v>
      </c>
      <c r="C24" t="str">
        <f t="shared" si="0"/>
        <v>P</v>
      </c>
      <c r="D24">
        <f t="shared" si="1"/>
        <v>33750</v>
      </c>
      <c r="E24" t="str">
        <f>_xll.RssFOPCode(A24,B24,IF(C24="C",1,IF(C24="P",2,"")),D24)</f>
        <v>マーケットスピード II にログインして「接続中」の状態に変更してから利用してください。</v>
      </c>
      <c r="F24" t="str">
        <f>_xll.RssFOPMarket($E24,F$1)</f>
        <v/>
      </c>
      <c r="G24" t="str">
        <f>_xll.RssFOPMarket($E24,G$1)</f>
        <v/>
      </c>
      <c r="H24" t="str">
        <f>_xll.RssFOPMarket($E24,H$1)</f>
        <v/>
      </c>
      <c r="I24" t="str">
        <f>_xll.RssFOPMarket($E24,I$1)</f>
        <v/>
      </c>
      <c r="J24" t="str">
        <f>_xll.RssFOPMarket($E24,J$1)</f>
        <v/>
      </c>
      <c r="K24" t="str">
        <f>_xll.RssFOPMarket($E24,K$1)</f>
        <v/>
      </c>
      <c r="L24" t="str">
        <f>_xll.RssFOPMarket($E24,L$1)</f>
        <v/>
      </c>
      <c r="M24" t="str">
        <f>_xll.RssFOPMarket($E24,M$1)</f>
        <v/>
      </c>
      <c r="N24" t="str">
        <f>_xll.RssFOPMarket($E24,N$1)</f>
        <v/>
      </c>
      <c r="O24" t="str">
        <f>_xll.RssFOPMarket($E24,O$1)</f>
        <v/>
      </c>
      <c r="P24" t="str">
        <f>_xll.RssFOPMarket($E24,P$1)</f>
        <v/>
      </c>
      <c r="Q24" t="str">
        <f>_xll.RssFOPMarket($E24,Q$1)</f>
        <v/>
      </c>
    </row>
    <row r="25" spans="1:17" x14ac:dyDescent="0.4">
      <c r="A25" t="str">
        <f t="shared" si="0"/>
        <v>N225MOP</v>
      </c>
      <c r="B25" t="str">
        <f t="shared" si="0"/>
        <v>202311#1</v>
      </c>
      <c r="C25" t="str">
        <f t="shared" si="0"/>
        <v>P</v>
      </c>
      <c r="D25">
        <f t="shared" si="1"/>
        <v>33625</v>
      </c>
      <c r="E25" t="str">
        <f>_xll.RssFOPCode(A25,B25,IF(C25="C",1,IF(C25="P",2,"")),D25)</f>
        <v>マーケットスピード II にログインして「接続中」の状態に変更してから利用してください。</v>
      </c>
      <c r="F25" t="str">
        <f>_xll.RssFOPMarket($E25,F$1)</f>
        <v/>
      </c>
      <c r="G25" t="str">
        <f>_xll.RssFOPMarket($E25,G$1)</f>
        <v/>
      </c>
      <c r="H25" t="str">
        <f>_xll.RssFOPMarket($E25,H$1)</f>
        <v/>
      </c>
      <c r="I25" t="str">
        <f>_xll.RssFOPMarket($E25,I$1)</f>
        <v/>
      </c>
      <c r="J25" t="str">
        <f>_xll.RssFOPMarket($E25,J$1)</f>
        <v/>
      </c>
      <c r="K25" t="str">
        <f>_xll.RssFOPMarket($E25,K$1)</f>
        <v/>
      </c>
      <c r="L25" t="str">
        <f>_xll.RssFOPMarket($E25,L$1)</f>
        <v/>
      </c>
      <c r="M25" t="str">
        <f>_xll.RssFOPMarket($E25,M$1)</f>
        <v/>
      </c>
      <c r="N25" t="str">
        <f>_xll.RssFOPMarket($E25,N$1)</f>
        <v/>
      </c>
      <c r="O25" t="str">
        <f>_xll.RssFOPMarket($E25,O$1)</f>
        <v/>
      </c>
      <c r="P25" t="str">
        <f>_xll.RssFOPMarket($E25,P$1)</f>
        <v/>
      </c>
      <c r="Q25" t="str">
        <f>_xll.RssFOPMarket($E25,Q$1)</f>
        <v/>
      </c>
    </row>
    <row r="26" spans="1:17" x14ac:dyDescent="0.4">
      <c r="A26" t="str">
        <f t="shared" si="0"/>
        <v>N225MOP</v>
      </c>
      <c r="B26" t="str">
        <f t="shared" si="0"/>
        <v>202311#1</v>
      </c>
      <c r="C26" t="str">
        <f t="shared" si="0"/>
        <v>P</v>
      </c>
      <c r="D26">
        <f t="shared" si="1"/>
        <v>33500</v>
      </c>
      <c r="E26" t="str">
        <f>_xll.RssFOPCode(A26,B26,IF(C26="C",1,IF(C26="P",2,"")),D26)</f>
        <v>マーケットスピード II にログインして「接続中」の状態に変更してから利用してください。</v>
      </c>
      <c r="F26" t="str">
        <f>_xll.RssFOPMarket($E26,F$1)</f>
        <v/>
      </c>
      <c r="G26" t="str">
        <f>_xll.RssFOPMarket($E26,G$1)</f>
        <v/>
      </c>
      <c r="H26" t="str">
        <f>_xll.RssFOPMarket($E26,H$1)</f>
        <v/>
      </c>
      <c r="I26" t="str">
        <f>_xll.RssFOPMarket($E26,I$1)</f>
        <v/>
      </c>
      <c r="J26" t="str">
        <f>_xll.RssFOPMarket($E26,J$1)</f>
        <v/>
      </c>
      <c r="K26" t="str">
        <f>_xll.RssFOPMarket($E26,K$1)</f>
        <v/>
      </c>
      <c r="L26" t="str">
        <f>_xll.RssFOPMarket($E26,L$1)</f>
        <v/>
      </c>
      <c r="M26" t="str">
        <f>_xll.RssFOPMarket($E26,M$1)</f>
        <v/>
      </c>
      <c r="N26" t="str">
        <f>_xll.RssFOPMarket($E26,N$1)</f>
        <v/>
      </c>
      <c r="O26" t="str">
        <f>_xll.RssFOPMarket($E26,O$1)</f>
        <v/>
      </c>
      <c r="P26" t="str">
        <f>_xll.RssFOPMarket($E26,P$1)</f>
        <v/>
      </c>
      <c r="Q26" t="str">
        <f>_xll.RssFOPMarket($E26,Q$1)</f>
        <v/>
      </c>
    </row>
    <row r="27" spans="1:17" x14ac:dyDescent="0.4">
      <c r="A27" t="str">
        <f t="shared" si="0"/>
        <v>N225MOP</v>
      </c>
      <c r="B27" t="str">
        <f t="shared" si="0"/>
        <v>202311#1</v>
      </c>
      <c r="C27" t="str">
        <f t="shared" si="0"/>
        <v>P</v>
      </c>
      <c r="D27">
        <f t="shared" si="1"/>
        <v>33375</v>
      </c>
      <c r="E27" t="str">
        <f>_xll.RssFOPCode(A27,B27,IF(C27="C",1,IF(C27="P",2,"")),D27)</f>
        <v>マーケットスピード II にログインして「接続中」の状態に変更してから利用してください。</v>
      </c>
      <c r="F27" t="str">
        <f>_xll.RssFOPMarket($E27,F$1)</f>
        <v/>
      </c>
      <c r="G27" t="str">
        <f>_xll.RssFOPMarket($E27,G$1)</f>
        <v/>
      </c>
      <c r="H27" t="str">
        <f>_xll.RssFOPMarket($E27,H$1)</f>
        <v/>
      </c>
      <c r="I27" t="str">
        <f>_xll.RssFOPMarket($E27,I$1)</f>
        <v/>
      </c>
      <c r="J27" t="str">
        <f>_xll.RssFOPMarket($E27,J$1)</f>
        <v/>
      </c>
      <c r="K27" t="str">
        <f>_xll.RssFOPMarket($E27,K$1)</f>
        <v/>
      </c>
      <c r="L27" t="str">
        <f>_xll.RssFOPMarket($E27,L$1)</f>
        <v/>
      </c>
      <c r="M27" t="str">
        <f>_xll.RssFOPMarket($E27,M$1)</f>
        <v/>
      </c>
      <c r="N27" t="str">
        <f>_xll.RssFOPMarket($E27,N$1)</f>
        <v/>
      </c>
      <c r="O27" t="str">
        <f>_xll.RssFOPMarket($E27,O$1)</f>
        <v/>
      </c>
      <c r="P27" t="str">
        <f>_xll.RssFOPMarket($E27,P$1)</f>
        <v/>
      </c>
      <c r="Q27" t="str">
        <f>_xll.RssFOPMarket($E27,Q$1)</f>
        <v/>
      </c>
    </row>
    <row r="28" spans="1:17" x14ac:dyDescent="0.4">
      <c r="A28" t="str">
        <f t="shared" si="0"/>
        <v>N225MOP</v>
      </c>
      <c r="B28" t="str">
        <f t="shared" si="0"/>
        <v>202311#1</v>
      </c>
      <c r="C28" t="str">
        <f t="shared" si="0"/>
        <v>P</v>
      </c>
      <c r="D28">
        <f t="shared" si="1"/>
        <v>33250</v>
      </c>
      <c r="E28" t="str">
        <f>_xll.RssFOPCode(A28,B28,IF(C28="C",1,IF(C28="P",2,"")),D28)</f>
        <v>マーケットスピード II にログインして「接続中」の状態に変更してから利用してください。</v>
      </c>
      <c r="F28" t="str">
        <f>_xll.RssFOPMarket($E28,F$1)</f>
        <v/>
      </c>
      <c r="G28" t="str">
        <f>_xll.RssFOPMarket($E28,G$1)</f>
        <v/>
      </c>
      <c r="H28" t="str">
        <f>_xll.RssFOPMarket($E28,H$1)</f>
        <v/>
      </c>
      <c r="I28" t="str">
        <f>_xll.RssFOPMarket($E28,I$1)</f>
        <v/>
      </c>
      <c r="J28" t="str">
        <f>_xll.RssFOPMarket($E28,J$1)</f>
        <v/>
      </c>
      <c r="K28" t="str">
        <f>_xll.RssFOPMarket($E28,K$1)</f>
        <v/>
      </c>
      <c r="L28" t="str">
        <f>_xll.RssFOPMarket($E28,L$1)</f>
        <v/>
      </c>
      <c r="M28" t="str">
        <f>_xll.RssFOPMarket($E28,M$1)</f>
        <v/>
      </c>
      <c r="N28" t="str">
        <f>_xll.RssFOPMarket($E28,N$1)</f>
        <v/>
      </c>
      <c r="O28" t="str">
        <f>_xll.RssFOPMarket($E28,O$1)</f>
        <v/>
      </c>
      <c r="P28" t="str">
        <f>_xll.RssFOPMarket($E28,P$1)</f>
        <v/>
      </c>
      <c r="Q28" t="str">
        <f>_xll.RssFOPMarket($E28,Q$1)</f>
        <v/>
      </c>
    </row>
    <row r="29" spans="1:17" x14ac:dyDescent="0.4">
      <c r="A29" t="str">
        <f t="shared" si="0"/>
        <v>N225MOP</v>
      </c>
      <c r="B29" t="str">
        <f t="shared" si="0"/>
        <v>202311#1</v>
      </c>
      <c r="C29" t="str">
        <f t="shared" si="0"/>
        <v>P</v>
      </c>
      <c r="D29">
        <f t="shared" si="1"/>
        <v>33125</v>
      </c>
      <c r="E29" t="str">
        <f>_xll.RssFOPCode(A29,B29,IF(C29="C",1,IF(C29="P",2,"")),D29)</f>
        <v>マーケットスピード II にログインして「接続中」の状態に変更してから利用してください。</v>
      </c>
      <c r="F29" t="str">
        <f>_xll.RssFOPMarket($E29,F$1)</f>
        <v/>
      </c>
      <c r="G29" t="str">
        <f>_xll.RssFOPMarket($E29,G$1)</f>
        <v/>
      </c>
      <c r="H29" t="str">
        <f>_xll.RssFOPMarket($E29,H$1)</f>
        <v/>
      </c>
      <c r="I29" t="str">
        <f>_xll.RssFOPMarket($E29,I$1)</f>
        <v/>
      </c>
      <c r="J29" t="str">
        <f>_xll.RssFOPMarket($E29,J$1)</f>
        <v/>
      </c>
      <c r="K29" t="str">
        <f>_xll.RssFOPMarket($E29,K$1)</f>
        <v/>
      </c>
      <c r="L29" t="str">
        <f>_xll.RssFOPMarket($E29,L$1)</f>
        <v/>
      </c>
      <c r="M29" t="str">
        <f>_xll.RssFOPMarket($E29,M$1)</f>
        <v/>
      </c>
      <c r="N29" t="str">
        <f>_xll.RssFOPMarket($E29,N$1)</f>
        <v/>
      </c>
      <c r="O29" t="str">
        <f>_xll.RssFOPMarket($E29,O$1)</f>
        <v/>
      </c>
      <c r="P29" t="str">
        <f>_xll.RssFOPMarket($E29,P$1)</f>
        <v/>
      </c>
      <c r="Q29" t="str">
        <f>_xll.RssFOPMarket($E29,Q$1)</f>
        <v/>
      </c>
    </row>
    <row r="30" spans="1:17" x14ac:dyDescent="0.4">
      <c r="A30" t="str">
        <f t="shared" si="0"/>
        <v>N225MOP</v>
      </c>
      <c r="B30" t="str">
        <f t="shared" si="0"/>
        <v>202311#1</v>
      </c>
      <c r="C30" t="str">
        <f t="shared" si="0"/>
        <v>P</v>
      </c>
      <c r="D30">
        <f t="shared" si="1"/>
        <v>33000</v>
      </c>
      <c r="E30" t="str">
        <f>_xll.RssFOPCode(A30,B30,IF(C30="C",1,IF(C30="P",2,"")),D30)</f>
        <v>マーケットスピード II にログインして「接続中」の状態に変更してから利用してください。</v>
      </c>
      <c r="F30" t="str">
        <f>_xll.RssFOPMarket($E30,F$1)</f>
        <v/>
      </c>
      <c r="G30" t="str">
        <f>_xll.RssFOPMarket($E30,G$1)</f>
        <v/>
      </c>
      <c r="H30" t="str">
        <f>_xll.RssFOPMarket($E30,H$1)</f>
        <v/>
      </c>
      <c r="I30" t="str">
        <f>_xll.RssFOPMarket($E30,I$1)</f>
        <v/>
      </c>
      <c r="J30" t="str">
        <f>_xll.RssFOPMarket($E30,J$1)</f>
        <v/>
      </c>
      <c r="K30" t="str">
        <f>_xll.RssFOPMarket($E30,K$1)</f>
        <v/>
      </c>
      <c r="L30" t="str">
        <f>_xll.RssFOPMarket($E30,L$1)</f>
        <v/>
      </c>
      <c r="M30" t="str">
        <f>_xll.RssFOPMarket($E30,M$1)</f>
        <v/>
      </c>
      <c r="N30" t="str">
        <f>_xll.RssFOPMarket($E30,N$1)</f>
        <v/>
      </c>
      <c r="O30" t="str">
        <f>_xll.RssFOPMarket($E30,O$1)</f>
        <v/>
      </c>
      <c r="P30" t="str">
        <f>_xll.RssFOPMarket($E30,P$1)</f>
        <v/>
      </c>
      <c r="Q30" t="str">
        <f>_xll.RssFOPMarket($E30,Q$1)</f>
        <v/>
      </c>
    </row>
    <row r="31" spans="1:17" x14ac:dyDescent="0.4">
      <c r="A31" t="str">
        <f t="shared" si="0"/>
        <v>N225MOP</v>
      </c>
      <c r="B31" t="str">
        <f t="shared" si="0"/>
        <v>202311#1</v>
      </c>
      <c r="C31" t="str">
        <f t="shared" si="0"/>
        <v>P</v>
      </c>
      <c r="D31">
        <f t="shared" si="1"/>
        <v>32875</v>
      </c>
      <c r="E31" t="str">
        <f>_xll.RssFOPCode(A31,B31,IF(C31="C",1,IF(C31="P",2,"")),D31)</f>
        <v>マーケットスピード II にログインして「接続中」の状態に変更してから利用してください。</v>
      </c>
      <c r="F31" t="str">
        <f>_xll.RssFOPMarket($E31,F$1)</f>
        <v/>
      </c>
      <c r="G31" t="str">
        <f>_xll.RssFOPMarket($E31,G$1)</f>
        <v/>
      </c>
      <c r="H31" t="str">
        <f>_xll.RssFOPMarket($E31,H$1)</f>
        <v/>
      </c>
      <c r="I31" t="str">
        <f>_xll.RssFOPMarket($E31,I$1)</f>
        <v/>
      </c>
      <c r="J31" t="str">
        <f>_xll.RssFOPMarket($E31,J$1)</f>
        <v/>
      </c>
      <c r="K31" t="str">
        <f>_xll.RssFOPMarket($E31,K$1)</f>
        <v/>
      </c>
      <c r="L31" t="str">
        <f>_xll.RssFOPMarket($E31,L$1)</f>
        <v/>
      </c>
      <c r="M31" t="str">
        <f>_xll.RssFOPMarket($E31,M$1)</f>
        <v/>
      </c>
      <c r="N31" t="str">
        <f>_xll.RssFOPMarket($E31,N$1)</f>
        <v/>
      </c>
      <c r="O31" t="str">
        <f>_xll.RssFOPMarket($E31,O$1)</f>
        <v/>
      </c>
      <c r="P31" t="str">
        <f>_xll.RssFOPMarket($E31,P$1)</f>
        <v/>
      </c>
      <c r="Q31" t="str">
        <f>_xll.RssFOPMarket($E31,Q$1)</f>
        <v/>
      </c>
    </row>
    <row r="32" spans="1:17" x14ac:dyDescent="0.4">
      <c r="A32" t="str">
        <f t="shared" si="0"/>
        <v>N225MOP</v>
      </c>
      <c r="B32" t="str">
        <f t="shared" si="0"/>
        <v>202311#1</v>
      </c>
      <c r="C32" t="str">
        <f t="shared" si="0"/>
        <v>P</v>
      </c>
      <c r="D32">
        <f t="shared" si="1"/>
        <v>32750</v>
      </c>
      <c r="E32" t="str">
        <f>_xll.RssFOPCode(A32,B32,IF(C32="C",1,IF(C32="P",2,"")),D32)</f>
        <v>マーケットスピード II にログインして「接続中」の状態に変更してから利用してください。</v>
      </c>
      <c r="F32" t="str">
        <f>_xll.RssFOPMarket($E32,F$1)</f>
        <v/>
      </c>
      <c r="G32" t="str">
        <f>_xll.RssFOPMarket($E32,G$1)</f>
        <v/>
      </c>
      <c r="H32" t="str">
        <f>_xll.RssFOPMarket($E32,H$1)</f>
        <v/>
      </c>
      <c r="I32" t="str">
        <f>_xll.RssFOPMarket($E32,I$1)</f>
        <v/>
      </c>
      <c r="J32" t="str">
        <f>_xll.RssFOPMarket($E32,J$1)</f>
        <v/>
      </c>
      <c r="K32" t="str">
        <f>_xll.RssFOPMarket($E32,K$1)</f>
        <v/>
      </c>
      <c r="L32" t="str">
        <f>_xll.RssFOPMarket($E32,L$1)</f>
        <v/>
      </c>
      <c r="M32" t="str">
        <f>_xll.RssFOPMarket($E32,M$1)</f>
        <v/>
      </c>
      <c r="N32" t="str">
        <f>_xll.RssFOPMarket($E32,N$1)</f>
        <v/>
      </c>
      <c r="O32" t="str">
        <f>_xll.RssFOPMarket($E32,O$1)</f>
        <v/>
      </c>
      <c r="P32" t="str">
        <f>_xll.RssFOPMarket($E32,P$1)</f>
        <v/>
      </c>
      <c r="Q32" t="str">
        <f>_xll.RssFOPMarket($E32,Q$1)</f>
        <v/>
      </c>
    </row>
    <row r="33" spans="1:17" x14ac:dyDescent="0.4">
      <c r="A33" t="str">
        <f t="shared" si="0"/>
        <v>N225MOP</v>
      </c>
      <c r="B33" t="str">
        <f t="shared" si="0"/>
        <v>202311#1</v>
      </c>
      <c r="C33" t="str">
        <f t="shared" si="0"/>
        <v>P</v>
      </c>
      <c r="D33">
        <f t="shared" si="1"/>
        <v>32625</v>
      </c>
      <c r="E33" t="str">
        <f>_xll.RssFOPCode(A33,B33,IF(C33="C",1,IF(C33="P",2,"")),D33)</f>
        <v>マーケットスピード II にログインして「接続中」の状態に変更してから利用してください。</v>
      </c>
      <c r="F33" t="str">
        <f>_xll.RssFOPMarket($E33,F$1)</f>
        <v/>
      </c>
      <c r="G33" t="str">
        <f>_xll.RssFOPMarket($E33,G$1)</f>
        <v/>
      </c>
      <c r="H33" t="str">
        <f>_xll.RssFOPMarket($E33,H$1)</f>
        <v/>
      </c>
      <c r="I33" t="str">
        <f>_xll.RssFOPMarket($E33,I$1)</f>
        <v/>
      </c>
      <c r="J33" t="str">
        <f>_xll.RssFOPMarket($E33,J$1)</f>
        <v/>
      </c>
      <c r="K33" t="str">
        <f>_xll.RssFOPMarket($E33,K$1)</f>
        <v/>
      </c>
      <c r="L33" t="str">
        <f>_xll.RssFOPMarket($E33,L$1)</f>
        <v/>
      </c>
      <c r="M33" t="str">
        <f>_xll.RssFOPMarket($E33,M$1)</f>
        <v/>
      </c>
      <c r="N33" t="str">
        <f>_xll.RssFOPMarket($E33,N$1)</f>
        <v/>
      </c>
      <c r="O33" t="str">
        <f>_xll.RssFOPMarket($E33,O$1)</f>
        <v/>
      </c>
      <c r="P33" t="str">
        <f>_xll.RssFOPMarket($E33,P$1)</f>
        <v/>
      </c>
      <c r="Q33" t="str">
        <f>_xll.RssFOPMarket($E33,Q$1)</f>
        <v/>
      </c>
    </row>
    <row r="34" spans="1:17" x14ac:dyDescent="0.4">
      <c r="A34" t="str">
        <f t="shared" si="0"/>
        <v>N225MOP</v>
      </c>
      <c r="B34" t="str">
        <f t="shared" si="0"/>
        <v>202311#1</v>
      </c>
      <c r="C34" t="str">
        <f t="shared" si="0"/>
        <v>P</v>
      </c>
      <c r="D34">
        <f t="shared" si="1"/>
        <v>32500</v>
      </c>
      <c r="E34" t="str">
        <f>_xll.RssFOPCode(A34,B34,IF(C34="C",1,IF(C34="P",2,"")),D34)</f>
        <v>マーケットスピード II にログインして「接続中」の状態に変更してから利用してください。</v>
      </c>
      <c r="F34" t="str">
        <f>_xll.RssFOPMarket($E34,F$1)</f>
        <v/>
      </c>
      <c r="G34" t="str">
        <f>_xll.RssFOPMarket($E34,G$1)</f>
        <v/>
      </c>
      <c r="H34" t="str">
        <f>_xll.RssFOPMarket($E34,H$1)</f>
        <v/>
      </c>
      <c r="I34" t="str">
        <f>_xll.RssFOPMarket($E34,I$1)</f>
        <v/>
      </c>
      <c r="J34" t="str">
        <f>_xll.RssFOPMarket($E34,J$1)</f>
        <v/>
      </c>
      <c r="K34" t="str">
        <f>_xll.RssFOPMarket($E34,K$1)</f>
        <v/>
      </c>
      <c r="L34" t="str">
        <f>_xll.RssFOPMarket($E34,L$1)</f>
        <v/>
      </c>
      <c r="M34" t="str">
        <f>_xll.RssFOPMarket($E34,M$1)</f>
        <v/>
      </c>
      <c r="N34" t="str">
        <f>_xll.RssFOPMarket($E34,N$1)</f>
        <v/>
      </c>
      <c r="O34" t="str">
        <f>_xll.RssFOPMarket($E34,O$1)</f>
        <v/>
      </c>
      <c r="P34" t="str">
        <f>_xll.RssFOPMarket($E34,P$1)</f>
        <v/>
      </c>
      <c r="Q34" t="str">
        <f>_xll.RssFOPMarket($E34,Q$1)</f>
        <v/>
      </c>
    </row>
    <row r="35" spans="1:17" x14ac:dyDescent="0.4">
      <c r="A35" t="str">
        <f t="shared" si="0"/>
        <v>N225MOP</v>
      </c>
      <c r="B35" t="str">
        <f t="shared" si="0"/>
        <v>202311#1</v>
      </c>
      <c r="C35" t="str">
        <f t="shared" si="0"/>
        <v>P</v>
      </c>
      <c r="D35">
        <f t="shared" si="1"/>
        <v>32375</v>
      </c>
      <c r="E35" t="str">
        <f>_xll.RssFOPCode(A35,B35,IF(C35="C",1,IF(C35="P",2,"")),D35)</f>
        <v>マーケットスピード II にログインして「接続中」の状態に変更してから利用してください。</v>
      </c>
      <c r="F35" t="str">
        <f>_xll.RssFOPMarket($E35,F$1)</f>
        <v/>
      </c>
      <c r="G35" t="str">
        <f>_xll.RssFOPMarket($E35,G$1)</f>
        <v/>
      </c>
      <c r="H35" t="str">
        <f>_xll.RssFOPMarket($E35,H$1)</f>
        <v/>
      </c>
      <c r="I35" t="str">
        <f>_xll.RssFOPMarket($E35,I$1)</f>
        <v/>
      </c>
      <c r="J35" t="str">
        <f>_xll.RssFOPMarket($E35,J$1)</f>
        <v/>
      </c>
      <c r="K35" t="str">
        <f>_xll.RssFOPMarket($E35,K$1)</f>
        <v/>
      </c>
      <c r="L35" t="str">
        <f>_xll.RssFOPMarket($E35,L$1)</f>
        <v/>
      </c>
      <c r="M35" t="str">
        <f>_xll.RssFOPMarket($E35,M$1)</f>
        <v/>
      </c>
      <c r="N35" t="str">
        <f>_xll.RssFOPMarket($E35,N$1)</f>
        <v/>
      </c>
      <c r="O35" t="str">
        <f>_xll.RssFOPMarket($E35,O$1)</f>
        <v/>
      </c>
      <c r="P35" t="str">
        <f>_xll.RssFOPMarket($E35,P$1)</f>
        <v/>
      </c>
      <c r="Q35" t="str">
        <f>_xll.RssFOPMarket($E35,Q$1)</f>
        <v/>
      </c>
    </row>
    <row r="36" spans="1:17" x14ac:dyDescent="0.4">
      <c r="A36" t="str">
        <f t="shared" si="0"/>
        <v>N225MOP</v>
      </c>
      <c r="B36" t="str">
        <f t="shared" si="0"/>
        <v>202311#1</v>
      </c>
      <c r="C36" t="str">
        <f t="shared" si="0"/>
        <v>P</v>
      </c>
      <c r="D36">
        <f t="shared" si="1"/>
        <v>32250</v>
      </c>
      <c r="E36" t="str">
        <f>_xll.RssFOPCode(A36,B36,IF(C36="C",1,IF(C36="P",2,"")),D36)</f>
        <v>マーケットスピード II にログインして「接続中」の状態に変更してから利用してください。</v>
      </c>
      <c r="F36" t="str">
        <f>_xll.RssFOPMarket($E36,F$1)</f>
        <v/>
      </c>
      <c r="G36" t="str">
        <f>_xll.RssFOPMarket($E36,G$1)</f>
        <v/>
      </c>
      <c r="H36" t="str">
        <f>_xll.RssFOPMarket($E36,H$1)</f>
        <v/>
      </c>
      <c r="I36" t="str">
        <f>_xll.RssFOPMarket($E36,I$1)</f>
        <v/>
      </c>
      <c r="J36" t="str">
        <f>_xll.RssFOPMarket($E36,J$1)</f>
        <v/>
      </c>
      <c r="K36" t="str">
        <f>_xll.RssFOPMarket($E36,K$1)</f>
        <v/>
      </c>
      <c r="L36" t="str">
        <f>_xll.RssFOPMarket($E36,L$1)</f>
        <v/>
      </c>
      <c r="M36" t="str">
        <f>_xll.RssFOPMarket($E36,M$1)</f>
        <v/>
      </c>
      <c r="N36" t="str">
        <f>_xll.RssFOPMarket($E36,N$1)</f>
        <v/>
      </c>
      <c r="O36" t="str">
        <f>_xll.RssFOPMarket($E36,O$1)</f>
        <v/>
      </c>
      <c r="P36" t="str">
        <f>_xll.RssFOPMarket($E36,P$1)</f>
        <v/>
      </c>
      <c r="Q36" t="str">
        <f>_xll.RssFOPMarket($E36,Q$1)</f>
        <v/>
      </c>
    </row>
    <row r="37" spans="1:17" x14ac:dyDescent="0.4">
      <c r="A37" t="str">
        <f t="shared" si="0"/>
        <v>N225MOP</v>
      </c>
      <c r="B37" t="str">
        <f t="shared" si="0"/>
        <v>202311#1</v>
      </c>
      <c r="C37" t="str">
        <f t="shared" si="0"/>
        <v>P</v>
      </c>
      <c r="D37">
        <f t="shared" si="1"/>
        <v>32125</v>
      </c>
      <c r="E37" t="str">
        <f>_xll.RssFOPCode(A37,B37,IF(C37="C",1,IF(C37="P",2,"")),D37)</f>
        <v>マーケットスピード II にログインして「接続中」の状態に変更してから利用してください。</v>
      </c>
      <c r="F37" t="str">
        <f>_xll.RssFOPMarket($E37,F$1)</f>
        <v/>
      </c>
      <c r="G37" t="str">
        <f>_xll.RssFOPMarket($E37,G$1)</f>
        <v/>
      </c>
      <c r="H37" t="str">
        <f>_xll.RssFOPMarket($E37,H$1)</f>
        <v/>
      </c>
      <c r="I37" t="str">
        <f>_xll.RssFOPMarket($E37,I$1)</f>
        <v/>
      </c>
      <c r="J37" t="str">
        <f>_xll.RssFOPMarket($E37,J$1)</f>
        <v/>
      </c>
      <c r="K37" t="str">
        <f>_xll.RssFOPMarket($E37,K$1)</f>
        <v/>
      </c>
      <c r="L37" t="str">
        <f>_xll.RssFOPMarket($E37,L$1)</f>
        <v/>
      </c>
      <c r="M37" t="str">
        <f>_xll.RssFOPMarket($E37,M$1)</f>
        <v/>
      </c>
      <c r="N37" t="str">
        <f>_xll.RssFOPMarket($E37,N$1)</f>
        <v/>
      </c>
      <c r="O37" t="str">
        <f>_xll.RssFOPMarket($E37,O$1)</f>
        <v/>
      </c>
      <c r="P37" t="str">
        <f>_xll.RssFOPMarket($E37,P$1)</f>
        <v/>
      </c>
      <c r="Q37" t="str">
        <f>_xll.RssFOPMarket($E37,Q$1)</f>
        <v/>
      </c>
    </row>
    <row r="38" spans="1:17" x14ac:dyDescent="0.4">
      <c r="A38" t="str">
        <f t="shared" si="0"/>
        <v>N225MOP</v>
      </c>
      <c r="B38" t="str">
        <f t="shared" si="0"/>
        <v>202311#1</v>
      </c>
      <c r="C38" t="s">
        <v>15</v>
      </c>
      <c r="D38">
        <f t="shared" si="1"/>
        <v>32000</v>
      </c>
      <c r="E38" t="str">
        <f>_xll.RssFOPCode(A38,B38,IF(C38="C",1,IF(C38="P",2,"")),D38)</f>
        <v>マーケットスピード II にログインして「接続中」の状態に変更してから利用してください。</v>
      </c>
      <c r="F38" t="str">
        <f>_xll.RssFOPMarket($E38,F$1)</f>
        <v/>
      </c>
      <c r="G38" t="str">
        <f>_xll.RssFOPMarket($E38,G$1)</f>
        <v/>
      </c>
      <c r="H38" t="str">
        <f>_xll.RssFOPMarket($E38,H$1)</f>
        <v/>
      </c>
      <c r="I38" t="str">
        <f>_xll.RssFOPMarket($E38,I$1)</f>
        <v/>
      </c>
      <c r="J38" t="str">
        <f>_xll.RssFOPMarket($E38,J$1)</f>
        <v/>
      </c>
      <c r="K38" t="str">
        <f>_xll.RssFOPMarket($E38,K$1)</f>
        <v/>
      </c>
      <c r="L38" t="str">
        <f>_xll.RssFOPMarket($E38,L$1)</f>
        <v/>
      </c>
      <c r="M38" t="str">
        <f>_xll.RssFOPMarket($E38,M$1)</f>
        <v/>
      </c>
      <c r="N38" t="str">
        <f>_xll.RssFOPMarket($E38,N$1)</f>
        <v/>
      </c>
      <c r="O38" t="str">
        <f>_xll.RssFOPMarket($E38,O$1)</f>
        <v/>
      </c>
      <c r="P38" t="str">
        <f>_xll.RssFOPMarket($E38,P$1)</f>
        <v/>
      </c>
      <c r="Q38" t="str">
        <f>_xll.RssFOPMarket($E38,Q$1)</f>
        <v/>
      </c>
    </row>
    <row r="39" spans="1:17" x14ac:dyDescent="0.4">
      <c r="A39" t="str">
        <f t="shared" si="0"/>
        <v>N225MOP</v>
      </c>
      <c r="B39" t="str">
        <f t="shared" si="0"/>
        <v>202311#1</v>
      </c>
      <c r="C39" t="str">
        <f t="shared" si="0"/>
        <v>C</v>
      </c>
      <c r="D39">
        <f t="shared" si="1"/>
        <v>31875</v>
      </c>
      <c r="E39" t="str">
        <f>_xll.RssFOPCode(A39,B39,IF(C39="C",1,IF(C39="P",2,"")),D39)</f>
        <v>マーケットスピード II にログインして「接続中」の状態に変更してから利用してください。</v>
      </c>
      <c r="F39" t="str">
        <f>_xll.RssFOPMarket($E39,F$1)</f>
        <v/>
      </c>
      <c r="G39" t="str">
        <f>_xll.RssFOPMarket($E39,G$1)</f>
        <v/>
      </c>
      <c r="H39" t="str">
        <f>_xll.RssFOPMarket($E39,H$1)</f>
        <v/>
      </c>
      <c r="I39" t="str">
        <f>_xll.RssFOPMarket($E39,I$1)</f>
        <v/>
      </c>
      <c r="J39" t="str">
        <f>_xll.RssFOPMarket($E39,J$1)</f>
        <v/>
      </c>
      <c r="K39" t="str">
        <f>_xll.RssFOPMarket($E39,K$1)</f>
        <v/>
      </c>
      <c r="L39" t="str">
        <f>_xll.RssFOPMarket($E39,L$1)</f>
        <v/>
      </c>
      <c r="M39" t="str">
        <f>_xll.RssFOPMarket($E39,M$1)</f>
        <v/>
      </c>
      <c r="N39" t="str">
        <f>_xll.RssFOPMarket($E39,N$1)</f>
        <v/>
      </c>
      <c r="O39" t="str">
        <f>_xll.RssFOPMarket($E39,O$1)</f>
        <v/>
      </c>
      <c r="P39" t="str">
        <f>_xll.RssFOPMarket($E39,P$1)</f>
        <v/>
      </c>
      <c r="Q39" t="str">
        <f>_xll.RssFOPMarket($E39,Q$1)</f>
        <v/>
      </c>
    </row>
    <row r="40" spans="1:17" x14ac:dyDescent="0.4">
      <c r="A40" t="str">
        <f t="shared" si="0"/>
        <v>N225MOP</v>
      </c>
      <c r="B40" t="str">
        <f t="shared" si="0"/>
        <v>202311#1</v>
      </c>
      <c r="C40" t="str">
        <f t="shared" si="0"/>
        <v>C</v>
      </c>
      <c r="D40">
        <f t="shared" si="1"/>
        <v>31750</v>
      </c>
      <c r="E40" t="str">
        <f>_xll.RssFOPCode(A40,B40,IF(C40="C",1,IF(C40="P",2,"")),D40)</f>
        <v>マーケットスピード II にログインして「接続中」の状態に変更してから利用してください。</v>
      </c>
      <c r="F40" t="str">
        <f>_xll.RssFOPMarket($E40,F$1)</f>
        <v/>
      </c>
      <c r="G40" t="str">
        <f>_xll.RssFOPMarket($E40,G$1)</f>
        <v/>
      </c>
      <c r="H40" t="str">
        <f>_xll.RssFOPMarket($E40,H$1)</f>
        <v/>
      </c>
      <c r="I40" t="str">
        <f>_xll.RssFOPMarket($E40,I$1)</f>
        <v/>
      </c>
      <c r="J40" t="str">
        <f>_xll.RssFOPMarket($E40,J$1)</f>
        <v/>
      </c>
      <c r="K40" t="str">
        <f>_xll.RssFOPMarket($E40,K$1)</f>
        <v/>
      </c>
      <c r="L40" t="str">
        <f>_xll.RssFOPMarket($E40,L$1)</f>
        <v/>
      </c>
      <c r="M40" t="str">
        <f>_xll.RssFOPMarket($E40,M$1)</f>
        <v/>
      </c>
      <c r="N40" t="str">
        <f>_xll.RssFOPMarket($E40,N$1)</f>
        <v/>
      </c>
      <c r="O40" t="str">
        <f>_xll.RssFOPMarket($E40,O$1)</f>
        <v/>
      </c>
      <c r="P40" t="str">
        <f>_xll.RssFOPMarket($E40,P$1)</f>
        <v/>
      </c>
      <c r="Q40" t="str">
        <f>_xll.RssFOPMarket($E40,Q$1)</f>
        <v/>
      </c>
    </row>
    <row r="41" spans="1:17" x14ac:dyDescent="0.4">
      <c r="A41" t="str">
        <f t="shared" si="0"/>
        <v>N225MOP</v>
      </c>
      <c r="B41" t="str">
        <f t="shared" si="0"/>
        <v>202311#1</v>
      </c>
      <c r="C41" t="str">
        <f t="shared" si="0"/>
        <v>C</v>
      </c>
      <c r="D41">
        <f t="shared" si="1"/>
        <v>31625</v>
      </c>
      <c r="E41" t="str">
        <f>_xll.RssFOPCode(A41,B41,IF(C41="C",1,IF(C41="P",2,"")),D41)</f>
        <v>マーケットスピード II にログインして「接続中」の状態に変更してから利用してください。</v>
      </c>
      <c r="F41" t="str">
        <f>_xll.RssFOPMarket($E41,F$1)</f>
        <v/>
      </c>
      <c r="G41" t="str">
        <f>_xll.RssFOPMarket($E41,G$1)</f>
        <v/>
      </c>
      <c r="H41" t="str">
        <f>_xll.RssFOPMarket($E41,H$1)</f>
        <v/>
      </c>
      <c r="I41" t="str">
        <f>_xll.RssFOPMarket($E41,I$1)</f>
        <v/>
      </c>
      <c r="J41" t="str">
        <f>_xll.RssFOPMarket($E41,J$1)</f>
        <v/>
      </c>
      <c r="K41" t="str">
        <f>_xll.RssFOPMarket($E41,K$1)</f>
        <v/>
      </c>
      <c r="L41" t="str">
        <f>_xll.RssFOPMarket($E41,L$1)</f>
        <v/>
      </c>
      <c r="M41" t="str">
        <f>_xll.RssFOPMarket($E41,M$1)</f>
        <v/>
      </c>
      <c r="N41" t="str">
        <f>_xll.RssFOPMarket($E41,N$1)</f>
        <v/>
      </c>
      <c r="O41" t="str">
        <f>_xll.RssFOPMarket($E41,O$1)</f>
        <v/>
      </c>
      <c r="P41" t="str">
        <f>_xll.RssFOPMarket($E41,P$1)</f>
        <v/>
      </c>
      <c r="Q41" t="str">
        <f>_xll.RssFOPMarket($E41,Q$1)</f>
        <v/>
      </c>
    </row>
    <row r="42" spans="1:17" x14ac:dyDescent="0.4">
      <c r="A42" t="str">
        <f t="shared" si="0"/>
        <v>N225MOP</v>
      </c>
      <c r="B42" t="str">
        <f t="shared" si="0"/>
        <v>202311#1</v>
      </c>
      <c r="C42" t="str">
        <f t="shared" si="0"/>
        <v>C</v>
      </c>
      <c r="D42">
        <f t="shared" si="1"/>
        <v>31500</v>
      </c>
      <c r="E42" t="str">
        <f>_xll.RssFOPCode(A42,B42,IF(C42="C",1,IF(C42="P",2,"")),D42)</f>
        <v>マーケットスピード II にログインして「接続中」の状態に変更してから利用してください。</v>
      </c>
      <c r="F42" t="str">
        <f>_xll.RssFOPMarket($E42,F$1)</f>
        <v/>
      </c>
      <c r="G42" t="str">
        <f>_xll.RssFOPMarket($E42,G$1)</f>
        <v/>
      </c>
      <c r="H42" t="str">
        <f>_xll.RssFOPMarket($E42,H$1)</f>
        <v/>
      </c>
      <c r="I42" t="str">
        <f>_xll.RssFOPMarket($E42,I$1)</f>
        <v/>
      </c>
      <c r="J42" t="str">
        <f>_xll.RssFOPMarket($E42,J$1)</f>
        <v/>
      </c>
      <c r="K42" t="str">
        <f>_xll.RssFOPMarket($E42,K$1)</f>
        <v/>
      </c>
      <c r="L42" t="str">
        <f>_xll.RssFOPMarket($E42,L$1)</f>
        <v/>
      </c>
      <c r="M42" t="str">
        <f>_xll.RssFOPMarket($E42,M$1)</f>
        <v/>
      </c>
      <c r="N42" t="str">
        <f>_xll.RssFOPMarket($E42,N$1)</f>
        <v/>
      </c>
      <c r="O42" t="str">
        <f>_xll.RssFOPMarket($E42,O$1)</f>
        <v/>
      </c>
      <c r="P42" t="str">
        <f>_xll.RssFOPMarket($E42,P$1)</f>
        <v/>
      </c>
      <c r="Q42" t="str">
        <f>_xll.RssFOPMarket($E42,Q$1)</f>
        <v/>
      </c>
    </row>
    <row r="43" spans="1:17" x14ac:dyDescent="0.4">
      <c r="A43" t="str">
        <f t="shared" si="0"/>
        <v>N225MOP</v>
      </c>
      <c r="B43" t="str">
        <f t="shared" si="0"/>
        <v>202311#1</v>
      </c>
      <c r="C43" t="str">
        <f t="shared" si="0"/>
        <v>C</v>
      </c>
      <c r="D43">
        <f t="shared" si="1"/>
        <v>31375</v>
      </c>
      <c r="E43" t="str">
        <f>_xll.RssFOPCode(A43,B43,IF(C43="C",1,IF(C43="P",2,"")),D43)</f>
        <v>マーケットスピード II にログインして「接続中」の状態に変更してから利用してください。</v>
      </c>
      <c r="F43" t="str">
        <f>_xll.RssFOPMarket($E43,F$1)</f>
        <v/>
      </c>
      <c r="G43" t="str">
        <f>_xll.RssFOPMarket($E43,G$1)</f>
        <v/>
      </c>
      <c r="H43" t="str">
        <f>_xll.RssFOPMarket($E43,H$1)</f>
        <v/>
      </c>
      <c r="I43" t="str">
        <f>_xll.RssFOPMarket($E43,I$1)</f>
        <v/>
      </c>
      <c r="J43" t="str">
        <f>_xll.RssFOPMarket($E43,J$1)</f>
        <v/>
      </c>
      <c r="K43" t="str">
        <f>_xll.RssFOPMarket($E43,K$1)</f>
        <v/>
      </c>
      <c r="L43" t="str">
        <f>_xll.RssFOPMarket($E43,L$1)</f>
        <v/>
      </c>
      <c r="M43" t="str">
        <f>_xll.RssFOPMarket($E43,M$1)</f>
        <v/>
      </c>
      <c r="N43" t="str">
        <f>_xll.RssFOPMarket($E43,N$1)</f>
        <v/>
      </c>
      <c r="O43" t="str">
        <f>_xll.RssFOPMarket($E43,O$1)</f>
        <v/>
      </c>
      <c r="P43" t="str">
        <f>_xll.RssFOPMarket($E43,P$1)</f>
        <v/>
      </c>
      <c r="Q43" t="str">
        <f>_xll.RssFOPMarket($E43,Q$1)</f>
        <v/>
      </c>
    </row>
    <row r="44" spans="1:17" x14ac:dyDescent="0.4">
      <c r="A44" t="str">
        <f t="shared" si="0"/>
        <v>N225MOP</v>
      </c>
      <c r="B44" t="str">
        <f t="shared" si="0"/>
        <v>202311#1</v>
      </c>
      <c r="C44" t="str">
        <f t="shared" si="0"/>
        <v>C</v>
      </c>
      <c r="D44">
        <f t="shared" si="1"/>
        <v>31250</v>
      </c>
      <c r="E44" t="str">
        <f>_xll.RssFOPCode(A44,B44,IF(C44="C",1,IF(C44="P",2,"")),D44)</f>
        <v>マーケットスピード II にログインして「接続中」の状態に変更してから利用してください。</v>
      </c>
      <c r="F44" t="str">
        <f>_xll.RssFOPMarket($E44,F$1)</f>
        <v/>
      </c>
      <c r="G44" t="str">
        <f>_xll.RssFOPMarket($E44,G$1)</f>
        <v/>
      </c>
      <c r="H44" t="str">
        <f>_xll.RssFOPMarket($E44,H$1)</f>
        <v/>
      </c>
      <c r="I44" t="str">
        <f>_xll.RssFOPMarket($E44,I$1)</f>
        <v/>
      </c>
      <c r="J44" t="str">
        <f>_xll.RssFOPMarket($E44,J$1)</f>
        <v/>
      </c>
      <c r="K44" t="str">
        <f>_xll.RssFOPMarket($E44,K$1)</f>
        <v/>
      </c>
      <c r="L44" t="str">
        <f>_xll.RssFOPMarket($E44,L$1)</f>
        <v/>
      </c>
      <c r="M44" t="str">
        <f>_xll.RssFOPMarket($E44,M$1)</f>
        <v/>
      </c>
      <c r="N44" t="str">
        <f>_xll.RssFOPMarket($E44,N$1)</f>
        <v/>
      </c>
      <c r="O44" t="str">
        <f>_xll.RssFOPMarket($E44,O$1)</f>
        <v/>
      </c>
      <c r="P44" t="str">
        <f>_xll.RssFOPMarket($E44,P$1)</f>
        <v/>
      </c>
      <c r="Q44" t="str">
        <f>_xll.RssFOPMarket($E44,Q$1)</f>
        <v/>
      </c>
    </row>
    <row r="45" spans="1:17" x14ac:dyDescent="0.4">
      <c r="A45" t="str">
        <f t="shared" si="0"/>
        <v>N225MOP</v>
      </c>
      <c r="B45" t="str">
        <f t="shared" si="0"/>
        <v>202311#1</v>
      </c>
      <c r="C45" t="str">
        <f t="shared" si="0"/>
        <v>C</v>
      </c>
      <c r="D45">
        <f t="shared" si="1"/>
        <v>31125</v>
      </c>
      <c r="E45" t="str">
        <f>_xll.RssFOPCode(A45,B45,IF(C45="C",1,IF(C45="P",2,"")),D45)</f>
        <v>マーケットスピード II にログインして「接続中」の状態に変更してから利用してください。</v>
      </c>
      <c r="F45" t="str">
        <f>_xll.RssFOPMarket($E45,F$1)</f>
        <v/>
      </c>
      <c r="G45" t="str">
        <f>_xll.RssFOPMarket($E45,G$1)</f>
        <v/>
      </c>
      <c r="H45" t="str">
        <f>_xll.RssFOPMarket($E45,H$1)</f>
        <v/>
      </c>
      <c r="I45" t="str">
        <f>_xll.RssFOPMarket($E45,I$1)</f>
        <v/>
      </c>
      <c r="J45" t="str">
        <f>_xll.RssFOPMarket($E45,J$1)</f>
        <v/>
      </c>
      <c r="K45" t="str">
        <f>_xll.RssFOPMarket($E45,K$1)</f>
        <v/>
      </c>
      <c r="L45" t="str">
        <f>_xll.RssFOPMarket($E45,L$1)</f>
        <v/>
      </c>
      <c r="M45" t="str">
        <f>_xll.RssFOPMarket($E45,M$1)</f>
        <v/>
      </c>
      <c r="N45" t="str">
        <f>_xll.RssFOPMarket($E45,N$1)</f>
        <v/>
      </c>
      <c r="O45" t="str">
        <f>_xll.RssFOPMarket($E45,O$1)</f>
        <v/>
      </c>
      <c r="P45" t="str">
        <f>_xll.RssFOPMarket($E45,P$1)</f>
        <v/>
      </c>
      <c r="Q45" t="str">
        <f>_xll.RssFOPMarket($E45,Q$1)</f>
        <v/>
      </c>
    </row>
    <row r="46" spans="1:17" x14ac:dyDescent="0.4">
      <c r="A46" t="str">
        <f t="shared" si="0"/>
        <v>N225MOP</v>
      </c>
      <c r="B46" t="str">
        <f t="shared" si="0"/>
        <v>202311#1</v>
      </c>
      <c r="C46" t="str">
        <f t="shared" si="0"/>
        <v>C</v>
      </c>
      <c r="D46">
        <f t="shared" si="1"/>
        <v>31000</v>
      </c>
      <c r="E46" t="str">
        <f>_xll.RssFOPCode(A46,B46,IF(C46="C",1,IF(C46="P",2,"")),D46)</f>
        <v>マーケットスピード II にログインして「接続中」の状態に変更してから利用してください。</v>
      </c>
      <c r="F46" t="str">
        <f>_xll.RssFOPMarket($E46,F$1)</f>
        <v/>
      </c>
      <c r="G46" t="str">
        <f>_xll.RssFOPMarket($E46,G$1)</f>
        <v/>
      </c>
      <c r="H46" t="str">
        <f>_xll.RssFOPMarket($E46,H$1)</f>
        <v/>
      </c>
      <c r="I46" t="str">
        <f>_xll.RssFOPMarket($E46,I$1)</f>
        <v/>
      </c>
      <c r="J46" t="str">
        <f>_xll.RssFOPMarket($E46,J$1)</f>
        <v/>
      </c>
      <c r="K46" t="str">
        <f>_xll.RssFOPMarket($E46,K$1)</f>
        <v/>
      </c>
      <c r="L46" t="str">
        <f>_xll.RssFOPMarket($E46,L$1)</f>
        <v/>
      </c>
      <c r="M46" t="str">
        <f>_xll.RssFOPMarket($E46,M$1)</f>
        <v/>
      </c>
      <c r="N46" t="str">
        <f>_xll.RssFOPMarket($E46,N$1)</f>
        <v/>
      </c>
      <c r="O46" t="str">
        <f>_xll.RssFOPMarket($E46,O$1)</f>
        <v/>
      </c>
      <c r="P46" t="str">
        <f>_xll.RssFOPMarket($E46,P$1)</f>
        <v/>
      </c>
      <c r="Q46" t="str">
        <f>_xll.RssFOPMarket($E46,Q$1)</f>
        <v/>
      </c>
    </row>
    <row r="47" spans="1:17" x14ac:dyDescent="0.4">
      <c r="A47" t="str">
        <f t="shared" si="0"/>
        <v>N225MOP</v>
      </c>
      <c r="B47" t="str">
        <f t="shared" si="0"/>
        <v>202311#1</v>
      </c>
      <c r="C47" t="str">
        <f t="shared" si="0"/>
        <v>C</v>
      </c>
      <c r="D47">
        <f t="shared" si="1"/>
        <v>30875</v>
      </c>
      <c r="E47" t="str">
        <f>_xll.RssFOPCode(A47,B47,IF(C47="C",1,IF(C47="P",2,"")),D47)</f>
        <v>マーケットスピード II にログインして「接続中」の状態に変更してから利用してください。</v>
      </c>
      <c r="F47" t="str">
        <f>_xll.RssFOPMarket($E47,F$1)</f>
        <v/>
      </c>
      <c r="G47" t="str">
        <f>_xll.RssFOPMarket($E47,G$1)</f>
        <v/>
      </c>
      <c r="H47" t="str">
        <f>_xll.RssFOPMarket($E47,H$1)</f>
        <v/>
      </c>
      <c r="I47" t="str">
        <f>_xll.RssFOPMarket($E47,I$1)</f>
        <v/>
      </c>
      <c r="J47" t="str">
        <f>_xll.RssFOPMarket($E47,J$1)</f>
        <v/>
      </c>
      <c r="K47" t="str">
        <f>_xll.RssFOPMarket($E47,K$1)</f>
        <v/>
      </c>
      <c r="L47" t="str">
        <f>_xll.RssFOPMarket($E47,L$1)</f>
        <v/>
      </c>
      <c r="M47" t="str">
        <f>_xll.RssFOPMarket($E47,M$1)</f>
        <v/>
      </c>
      <c r="N47" t="str">
        <f>_xll.RssFOPMarket($E47,N$1)</f>
        <v/>
      </c>
      <c r="O47" t="str">
        <f>_xll.RssFOPMarket($E47,O$1)</f>
        <v/>
      </c>
      <c r="P47" t="str">
        <f>_xll.RssFOPMarket($E47,P$1)</f>
        <v/>
      </c>
      <c r="Q47" t="str">
        <f>_xll.RssFOPMarket($E47,Q$1)</f>
        <v/>
      </c>
    </row>
    <row r="48" spans="1:17" x14ac:dyDescent="0.4">
      <c r="A48" t="str">
        <f t="shared" si="0"/>
        <v>N225MOP</v>
      </c>
      <c r="B48" t="str">
        <f t="shared" si="0"/>
        <v>202311#1</v>
      </c>
      <c r="C48" t="str">
        <f t="shared" si="0"/>
        <v>C</v>
      </c>
      <c r="D48">
        <f t="shared" si="1"/>
        <v>30750</v>
      </c>
      <c r="E48" t="str">
        <f>_xll.RssFOPCode(A48,B48,IF(C48="C",1,IF(C48="P",2,"")),D48)</f>
        <v>マーケットスピード II にログインして「接続中」の状態に変更してから利用してください。</v>
      </c>
      <c r="F48" t="str">
        <f>_xll.RssFOPMarket($E48,F$1)</f>
        <v/>
      </c>
      <c r="G48" t="str">
        <f>_xll.RssFOPMarket($E48,G$1)</f>
        <v/>
      </c>
      <c r="H48" t="str">
        <f>_xll.RssFOPMarket($E48,H$1)</f>
        <v/>
      </c>
      <c r="I48" t="str">
        <f>_xll.RssFOPMarket($E48,I$1)</f>
        <v/>
      </c>
      <c r="J48" t="str">
        <f>_xll.RssFOPMarket($E48,J$1)</f>
        <v/>
      </c>
      <c r="K48" t="str">
        <f>_xll.RssFOPMarket($E48,K$1)</f>
        <v/>
      </c>
      <c r="L48" t="str">
        <f>_xll.RssFOPMarket($E48,L$1)</f>
        <v/>
      </c>
      <c r="M48" t="str">
        <f>_xll.RssFOPMarket($E48,M$1)</f>
        <v/>
      </c>
      <c r="N48" t="str">
        <f>_xll.RssFOPMarket($E48,N$1)</f>
        <v/>
      </c>
      <c r="O48" t="str">
        <f>_xll.RssFOPMarket($E48,O$1)</f>
        <v/>
      </c>
      <c r="P48" t="str">
        <f>_xll.RssFOPMarket($E48,P$1)</f>
        <v/>
      </c>
      <c r="Q48" t="str">
        <f>_xll.RssFOPMarket($E48,Q$1)</f>
        <v/>
      </c>
    </row>
    <row r="49" spans="1:17" x14ac:dyDescent="0.4">
      <c r="A49" t="str">
        <f t="shared" si="0"/>
        <v>N225MOP</v>
      </c>
      <c r="B49" t="str">
        <f t="shared" si="0"/>
        <v>202311#1</v>
      </c>
      <c r="C49" t="str">
        <f t="shared" si="0"/>
        <v>C</v>
      </c>
      <c r="D49">
        <f t="shared" si="1"/>
        <v>30625</v>
      </c>
      <c r="E49" t="str">
        <f>_xll.RssFOPCode(A49,B49,IF(C49="C",1,IF(C49="P",2,"")),D49)</f>
        <v>マーケットスピード II にログインして「接続中」の状態に変更してから利用してください。</v>
      </c>
      <c r="F49" t="str">
        <f>_xll.RssFOPMarket($E49,F$1)</f>
        <v/>
      </c>
      <c r="G49" t="str">
        <f>_xll.RssFOPMarket($E49,G$1)</f>
        <v/>
      </c>
      <c r="H49" t="str">
        <f>_xll.RssFOPMarket($E49,H$1)</f>
        <v/>
      </c>
      <c r="I49" t="str">
        <f>_xll.RssFOPMarket($E49,I$1)</f>
        <v/>
      </c>
      <c r="J49" t="str">
        <f>_xll.RssFOPMarket($E49,J$1)</f>
        <v/>
      </c>
      <c r="K49" t="str">
        <f>_xll.RssFOPMarket($E49,K$1)</f>
        <v/>
      </c>
      <c r="L49" t="str">
        <f>_xll.RssFOPMarket($E49,L$1)</f>
        <v/>
      </c>
      <c r="M49" t="str">
        <f>_xll.RssFOPMarket($E49,M$1)</f>
        <v/>
      </c>
      <c r="N49" t="str">
        <f>_xll.RssFOPMarket($E49,N$1)</f>
        <v/>
      </c>
      <c r="O49" t="str">
        <f>_xll.RssFOPMarket($E49,O$1)</f>
        <v/>
      </c>
      <c r="P49" t="str">
        <f>_xll.RssFOPMarket($E49,P$1)</f>
        <v/>
      </c>
      <c r="Q49" t="str">
        <f>_xll.RssFOPMarket($E49,Q$1)</f>
        <v/>
      </c>
    </row>
    <row r="50" spans="1:17" x14ac:dyDescent="0.4">
      <c r="A50" t="str">
        <f t="shared" si="0"/>
        <v>N225MOP</v>
      </c>
      <c r="B50" t="str">
        <f t="shared" si="0"/>
        <v>202311#1</v>
      </c>
      <c r="C50" t="str">
        <f t="shared" si="0"/>
        <v>C</v>
      </c>
      <c r="D50">
        <f t="shared" si="1"/>
        <v>30500</v>
      </c>
      <c r="E50" t="str">
        <f>_xll.RssFOPCode(A50,B50,IF(C50="C",1,IF(C50="P",2,"")),D50)</f>
        <v>マーケットスピード II にログインして「接続中」の状態に変更してから利用してください。</v>
      </c>
      <c r="F50" t="str">
        <f>_xll.RssFOPMarket($E50,F$1)</f>
        <v/>
      </c>
      <c r="G50" t="str">
        <f>_xll.RssFOPMarket($E50,G$1)</f>
        <v/>
      </c>
      <c r="H50" t="str">
        <f>_xll.RssFOPMarket($E50,H$1)</f>
        <v/>
      </c>
      <c r="I50" t="str">
        <f>_xll.RssFOPMarket($E50,I$1)</f>
        <v/>
      </c>
      <c r="J50" t="str">
        <f>_xll.RssFOPMarket($E50,J$1)</f>
        <v/>
      </c>
      <c r="K50" t="str">
        <f>_xll.RssFOPMarket($E50,K$1)</f>
        <v/>
      </c>
      <c r="L50" t="str">
        <f>_xll.RssFOPMarket($E50,L$1)</f>
        <v/>
      </c>
      <c r="M50" t="str">
        <f>_xll.RssFOPMarket($E50,M$1)</f>
        <v/>
      </c>
      <c r="N50" t="str">
        <f>_xll.RssFOPMarket($E50,N$1)</f>
        <v/>
      </c>
      <c r="O50" t="str">
        <f>_xll.RssFOPMarket($E50,O$1)</f>
        <v/>
      </c>
      <c r="P50" t="str">
        <f>_xll.RssFOPMarket($E50,P$1)</f>
        <v/>
      </c>
      <c r="Q50" t="str">
        <f>_xll.RssFOPMarket($E50,Q$1)</f>
        <v/>
      </c>
    </row>
    <row r="51" spans="1:17" x14ac:dyDescent="0.4">
      <c r="A51" t="str">
        <f t="shared" si="0"/>
        <v>N225MOP</v>
      </c>
      <c r="B51" t="str">
        <f t="shared" si="0"/>
        <v>202311#1</v>
      </c>
      <c r="C51" t="str">
        <f t="shared" si="0"/>
        <v>C</v>
      </c>
      <c r="D51">
        <f t="shared" si="1"/>
        <v>30375</v>
      </c>
      <c r="E51" t="str">
        <f>_xll.RssFOPCode(A51,B51,IF(C51="C",1,IF(C51="P",2,"")),D51)</f>
        <v>マーケットスピード II にログインして「接続中」の状態に変更してから利用してください。</v>
      </c>
      <c r="F51" t="str">
        <f>_xll.RssFOPMarket($E51,F$1)</f>
        <v/>
      </c>
      <c r="G51" t="str">
        <f>_xll.RssFOPMarket($E51,G$1)</f>
        <v/>
      </c>
      <c r="H51" t="str">
        <f>_xll.RssFOPMarket($E51,H$1)</f>
        <v/>
      </c>
      <c r="I51" t="str">
        <f>_xll.RssFOPMarket($E51,I$1)</f>
        <v/>
      </c>
      <c r="J51" t="str">
        <f>_xll.RssFOPMarket($E51,J$1)</f>
        <v/>
      </c>
      <c r="K51" t="str">
        <f>_xll.RssFOPMarket($E51,K$1)</f>
        <v/>
      </c>
      <c r="L51" t="str">
        <f>_xll.RssFOPMarket($E51,L$1)</f>
        <v/>
      </c>
      <c r="M51" t="str">
        <f>_xll.RssFOPMarket($E51,M$1)</f>
        <v/>
      </c>
      <c r="N51" t="str">
        <f>_xll.RssFOPMarket($E51,N$1)</f>
        <v/>
      </c>
      <c r="O51" t="str">
        <f>_xll.RssFOPMarket($E51,O$1)</f>
        <v/>
      </c>
      <c r="P51" t="str">
        <f>_xll.RssFOPMarket($E51,P$1)</f>
        <v/>
      </c>
      <c r="Q51" t="str">
        <f>_xll.RssFOPMarket($E51,Q$1)</f>
        <v/>
      </c>
    </row>
    <row r="52" spans="1:17" x14ac:dyDescent="0.4">
      <c r="A52" t="str">
        <f t="shared" si="0"/>
        <v>N225MOP</v>
      </c>
      <c r="B52" t="str">
        <f t="shared" si="0"/>
        <v>202311#1</v>
      </c>
      <c r="C52" t="str">
        <f t="shared" si="0"/>
        <v>C</v>
      </c>
      <c r="D52">
        <f t="shared" si="1"/>
        <v>30250</v>
      </c>
      <c r="E52" t="str">
        <f>_xll.RssFOPCode(A52,B52,IF(C52="C",1,IF(C52="P",2,"")),D52)</f>
        <v>マーケットスピード II にログインして「接続中」の状態に変更してから利用してください。</v>
      </c>
      <c r="F52" t="str">
        <f>_xll.RssFOPMarket($E52,F$1)</f>
        <v/>
      </c>
      <c r="G52" t="str">
        <f>_xll.RssFOPMarket($E52,G$1)</f>
        <v/>
      </c>
      <c r="H52" t="str">
        <f>_xll.RssFOPMarket($E52,H$1)</f>
        <v/>
      </c>
      <c r="I52" t="str">
        <f>_xll.RssFOPMarket($E52,I$1)</f>
        <v/>
      </c>
      <c r="J52" t="str">
        <f>_xll.RssFOPMarket($E52,J$1)</f>
        <v/>
      </c>
      <c r="K52" t="str">
        <f>_xll.RssFOPMarket($E52,K$1)</f>
        <v/>
      </c>
      <c r="L52" t="str">
        <f>_xll.RssFOPMarket($E52,L$1)</f>
        <v/>
      </c>
      <c r="M52" t="str">
        <f>_xll.RssFOPMarket($E52,M$1)</f>
        <v/>
      </c>
      <c r="N52" t="str">
        <f>_xll.RssFOPMarket($E52,N$1)</f>
        <v/>
      </c>
      <c r="O52" t="str">
        <f>_xll.RssFOPMarket($E52,O$1)</f>
        <v/>
      </c>
      <c r="P52" t="str">
        <f>_xll.RssFOPMarket($E52,P$1)</f>
        <v/>
      </c>
      <c r="Q52" t="str">
        <f>_xll.RssFOPMarket($E52,Q$1)</f>
        <v/>
      </c>
    </row>
    <row r="53" spans="1:17" x14ac:dyDescent="0.4">
      <c r="A53" t="str">
        <f t="shared" si="0"/>
        <v>N225MOP</v>
      </c>
      <c r="B53" t="str">
        <f t="shared" si="0"/>
        <v>202311#1</v>
      </c>
      <c r="C53" t="str">
        <f t="shared" si="0"/>
        <v>C</v>
      </c>
      <c r="D53">
        <f t="shared" si="1"/>
        <v>30125</v>
      </c>
      <c r="E53" t="str">
        <f>_xll.RssFOPCode(A53,B53,IF(C53="C",1,IF(C53="P",2,"")),D53)</f>
        <v>マーケットスピード II にログインして「接続中」の状態に変更してから利用してください。</v>
      </c>
      <c r="F53" t="str">
        <f>_xll.RssFOPMarket($E53,F$1)</f>
        <v/>
      </c>
      <c r="G53" t="str">
        <f>_xll.RssFOPMarket($E53,G$1)</f>
        <v/>
      </c>
      <c r="H53" t="str">
        <f>_xll.RssFOPMarket($E53,H$1)</f>
        <v/>
      </c>
      <c r="I53" t="str">
        <f>_xll.RssFOPMarket($E53,I$1)</f>
        <v/>
      </c>
      <c r="J53" t="str">
        <f>_xll.RssFOPMarket($E53,J$1)</f>
        <v/>
      </c>
      <c r="K53" t="str">
        <f>_xll.RssFOPMarket($E53,K$1)</f>
        <v/>
      </c>
      <c r="L53" t="str">
        <f>_xll.RssFOPMarket($E53,L$1)</f>
        <v/>
      </c>
      <c r="M53" t="str">
        <f>_xll.RssFOPMarket($E53,M$1)</f>
        <v/>
      </c>
      <c r="N53" t="str">
        <f>_xll.RssFOPMarket($E53,N$1)</f>
        <v/>
      </c>
      <c r="O53" t="str">
        <f>_xll.RssFOPMarket($E53,O$1)</f>
        <v/>
      </c>
      <c r="P53" t="str">
        <f>_xll.RssFOPMarket($E53,P$1)</f>
        <v/>
      </c>
      <c r="Q53" t="str">
        <f>_xll.RssFOPMarket($E53,Q$1)</f>
        <v/>
      </c>
    </row>
    <row r="54" spans="1:17" x14ac:dyDescent="0.4">
      <c r="A54" t="str">
        <f t="shared" si="0"/>
        <v>N225MOP</v>
      </c>
      <c r="B54" t="str">
        <f t="shared" si="0"/>
        <v>202311#1</v>
      </c>
      <c r="C54" t="str">
        <f t="shared" si="0"/>
        <v>C</v>
      </c>
      <c r="D54">
        <f t="shared" si="1"/>
        <v>30000</v>
      </c>
      <c r="E54" t="str">
        <f>_xll.RssFOPCode(A54,B54,IF(C54="C",1,IF(C54="P",2,"")),D54)</f>
        <v>マーケットスピード II にログインして「接続中」の状態に変更してから利用してください。</v>
      </c>
      <c r="F54" t="str">
        <f>_xll.RssFOPMarket($E54,F$1)</f>
        <v/>
      </c>
      <c r="G54" t="str">
        <f>_xll.RssFOPMarket($E54,G$1)</f>
        <v/>
      </c>
      <c r="H54" t="str">
        <f>_xll.RssFOPMarket($E54,H$1)</f>
        <v/>
      </c>
      <c r="I54" t="str">
        <f>_xll.RssFOPMarket($E54,I$1)</f>
        <v/>
      </c>
      <c r="J54" t="str">
        <f>_xll.RssFOPMarket($E54,J$1)</f>
        <v/>
      </c>
      <c r="K54" t="str">
        <f>_xll.RssFOPMarket($E54,K$1)</f>
        <v/>
      </c>
      <c r="L54" t="str">
        <f>_xll.RssFOPMarket($E54,L$1)</f>
        <v/>
      </c>
      <c r="M54" t="str">
        <f>_xll.RssFOPMarket($E54,M$1)</f>
        <v/>
      </c>
      <c r="N54" t="str">
        <f>_xll.RssFOPMarket($E54,N$1)</f>
        <v/>
      </c>
      <c r="O54" t="str">
        <f>_xll.RssFOPMarket($E54,O$1)</f>
        <v/>
      </c>
      <c r="P54" t="str">
        <f>_xll.RssFOPMarket($E54,P$1)</f>
        <v/>
      </c>
      <c r="Q54" t="str">
        <f>_xll.RssFOPMarket($E54,Q$1)</f>
        <v/>
      </c>
    </row>
    <row r="55" spans="1:17" x14ac:dyDescent="0.4">
      <c r="A55" t="str">
        <f t="shared" si="0"/>
        <v>N225MOP</v>
      </c>
      <c r="B55" t="str">
        <f t="shared" si="0"/>
        <v>202311#1</v>
      </c>
      <c r="C55" t="str">
        <f t="shared" si="0"/>
        <v>C</v>
      </c>
      <c r="D55">
        <f t="shared" si="1"/>
        <v>29875</v>
      </c>
      <c r="E55" t="str">
        <f>_xll.RssFOPCode(A55,B55,IF(C55="C",1,IF(C55="P",2,"")),D55)</f>
        <v>マーケットスピード II にログインして「接続中」の状態に変更してから利用してください。</v>
      </c>
      <c r="F55" t="str">
        <f>_xll.RssFOPMarket($E55,F$1)</f>
        <v/>
      </c>
      <c r="G55" t="str">
        <f>_xll.RssFOPMarket($E55,G$1)</f>
        <v/>
      </c>
      <c r="H55" t="str">
        <f>_xll.RssFOPMarket($E55,H$1)</f>
        <v/>
      </c>
      <c r="I55" t="str">
        <f>_xll.RssFOPMarket($E55,I$1)</f>
        <v/>
      </c>
      <c r="J55" t="str">
        <f>_xll.RssFOPMarket($E55,J$1)</f>
        <v/>
      </c>
      <c r="K55" t="str">
        <f>_xll.RssFOPMarket($E55,K$1)</f>
        <v/>
      </c>
      <c r="L55" t="str">
        <f>_xll.RssFOPMarket($E55,L$1)</f>
        <v/>
      </c>
      <c r="M55" t="str">
        <f>_xll.RssFOPMarket($E55,M$1)</f>
        <v/>
      </c>
      <c r="N55" t="str">
        <f>_xll.RssFOPMarket($E55,N$1)</f>
        <v/>
      </c>
      <c r="O55" t="str">
        <f>_xll.RssFOPMarket($E55,O$1)</f>
        <v/>
      </c>
      <c r="P55" t="str">
        <f>_xll.RssFOPMarket($E55,P$1)</f>
        <v/>
      </c>
      <c r="Q55" t="str">
        <f>_xll.RssFOPMarket($E55,Q$1)</f>
        <v/>
      </c>
    </row>
    <row r="56" spans="1:17" x14ac:dyDescent="0.4">
      <c r="A56" t="str">
        <f t="shared" si="0"/>
        <v>N225MOP</v>
      </c>
      <c r="B56" t="str">
        <f t="shared" si="0"/>
        <v>202311#1</v>
      </c>
      <c r="C56" t="str">
        <f t="shared" si="0"/>
        <v>C</v>
      </c>
      <c r="D56">
        <f t="shared" si="1"/>
        <v>29750</v>
      </c>
      <c r="E56" t="str">
        <f>_xll.RssFOPCode(A56,B56,IF(C56="C",1,IF(C56="P",2,"")),D56)</f>
        <v>マーケットスピード II にログインして「接続中」の状態に変更してから利用してください。</v>
      </c>
      <c r="F56" t="str">
        <f>_xll.RssFOPMarket($E56,F$1)</f>
        <v/>
      </c>
      <c r="G56" t="str">
        <f>_xll.RssFOPMarket($E56,G$1)</f>
        <v/>
      </c>
      <c r="H56" t="str">
        <f>_xll.RssFOPMarket($E56,H$1)</f>
        <v/>
      </c>
      <c r="I56" t="str">
        <f>_xll.RssFOPMarket($E56,I$1)</f>
        <v/>
      </c>
      <c r="J56" t="str">
        <f>_xll.RssFOPMarket($E56,J$1)</f>
        <v/>
      </c>
      <c r="K56" t="str">
        <f>_xll.RssFOPMarket($E56,K$1)</f>
        <v/>
      </c>
      <c r="L56" t="str">
        <f>_xll.RssFOPMarket($E56,L$1)</f>
        <v/>
      </c>
      <c r="M56" t="str">
        <f>_xll.RssFOPMarket($E56,M$1)</f>
        <v/>
      </c>
      <c r="N56" t="str">
        <f>_xll.RssFOPMarket($E56,N$1)</f>
        <v/>
      </c>
      <c r="O56" t="str">
        <f>_xll.RssFOPMarket($E56,O$1)</f>
        <v/>
      </c>
      <c r="P56" t="str">
        <f>_xll.RssFOPMarket($E56,P$1)</f>
        <v/>
      </c>
      <c r="Q56" t="str">
        <f>_xll.RssFOPMarket($E56,Q$1)</f>
        <v/>
      </c>
    </row>
    <row r="57" spans="1:17" x14ac:dyDescent="0.4">
      <c r="A57" t="str">
        <f t="shared" si="0"/>
        <v>N225MOP</v>
      </c>
      <c r="B57" t="str">
        <f t="shared" si="0"/>
        <v>202311#1</v>
      </c>
      <c r="C57" t="str">
        <f t="shared" si="0"/>
        <v>C</v>
      </c>
      <c r="D57">
        <f t="shared" si="1"/>
        <v>29625</v>
      </c>
      <c r="E57" t="str">
        <f>_xll.RssFOPCode(A57,B57,IF(C57="C",1,IF(C57="P",2,"")),D57)</f>
        <v>マーケットスピード II にログインして「接続中」の状態に変更してから利用してください。</v>
      </c>
      <c r="F57" t="str">
        <f>_xll.RssFOPMarket($E57,F$1)</f>
        <v/>
      </c>
      <c r="G57" t="str">
        <f>_xll.RssFOPMarket($E57,G$1)</f>
        <v/>
      </c>
      <c r="H57" t="str">
        <f>_xll.RssFOPMarket($E57,H$1)</f>
        <v/>
      </c>
      <c r="I57" t="str">
        <f>_xll.RssFOPMarket($E57,I$1)</f>
        <v/>
      </c>
      <c r="J57" t="str">
        <f>_xll.RssFOPMarket($E57,J$1)</f>
        <v/>
      </c>
      <c r="K57" t="str">
        <f>_xll.RssFOPMarket($E57,K$1)</f>
        <v/>
      </c>
      <c r="L57" t="str">
        <f>_xll.RssFOPMarket($E57,L$1)</f>
        <v/>
      </c>
      <c r="M57" t="str">
        <f>_xll.RssFOPMarket($E57,M$1)</f>
        <v/>
      </c>
      <c r="N57" t="str">
        <f>_xll.RssFOPMarket($E57,N$1)</f>
        <v/>
      </c>
      <c r="O57" t="str">
        <f>_xll.RssFOPMarket($E57,O$1)</f>
        <v/>
      </c>
      <c r="P57" t="str">
        <f>_xll.RssFOPMarket($E57,P$1)</f>
        <v/>
      </c>
      <c r="Q57" t="str">
        <f>_xll.RssFOPMarket($E57,Q$1)</f>
        <v/>
      </c>
    </row>
    <row r="58" spans="1:17" x14ac:dyDescent="0.4">
      <c r="A58" t="str">
        <f t="shared" si="0"/>
        <v>N225MOP</v>
      </c>
      <c r="B58" t="str">
        <f t="shared" si="0"/>
        <v>202311#1</v>
      </c>
      <c r="C58" t="str">
        <f t="shared" si="0"/>
        <v>C</v>
      </c>
      <c r="D58">
        <f t="shared" si="1"/>
        <v>29500</v>
      </c>
      <c r="E58" t="str">
        <f>_xll.RssFOPCode(A58,B58,IF(C58="C",1,IF(C58="P",2,"")),D58)</f>
        <v>マーケットスピード II にログインして「接続中」の状態に変更してから利用してください。</v>
      </c>
      <c r="F58" t="str">
        <f>_xll.RssFOPMarket($E58,F$1)</f>
        <v/>
      </c>
      <c r="G58" t="str">
        <f>_xll.RssFOPMarket($E58,G$1)</f>
        <v/>
      </c>
      <c r="H58" t="str">
        <f>_xll.RssFOPMarket($E58,H$1)</f>
        <v/>
      </c>
      <c r="I58" t="str">
        <f>_xll.RssFOPMarket($E58,I$1)</f>
        <v/>
      </c>
      <c r="J58" t="str">
        <f>_xll.RssFOPMarket($E58,J$1)</f>
        <v/>
      </c>
      <c r="K58" t="str">
        <f>_xll.RssFOPMarket($E58,K$1)</f>
        <v/>
      </c>
      <c r="L58" t="str">
        <f>_xll.RssFOPMarket($E58,L$1)</f>
        <v/>
      </c>
      <c r="M58" t="str">
        <f>_xll.RssFOPMarket($E58,M$1)</f>
        <v/>
      </c>
      <c r="N58" t="str">
        <f>_xll.RssFOPMarket($E58,N$1)</f>
        <v/>
      </c>
      <c r="O58" t="str">
        <f>_xll.RssFOPMarket($E58,O$1)</f>
        <v/>
      </c>
      <c r="P58" t="str">
        <f>_xll.RssFOPMarket($E58,P$1)</f>
        <v/>
      </c>
      <c r="Q58" t="str">
        <f>_xll.RssFOPMarket($E58,Q$1)</f>
        <v/>
      </c>
    </row>
    <row r="59" spans="1:17" x14ac:dyDescent="0.4">
      <c r="A59" t="str">
        <f t="shared" si="0"/>
        <v>N225MOP</v>
      </c>
      <c r="B59" t="str">
        <f t="shared" si="0"/>
        <v>202311#1</v>
      </c>
      <c r="C59" t="str">
        <f t="shared" si="0"/>
        <v>C</v>
      </c>
      <c r="D59">
        <f t="shared" si="1"/>
        <v>29375</v>
      </c>
      <c r="E59" t="str">
        <f>_xll.RssFOPCode(A59,B59,IF(C59="C",1,IF(C59="P",2,"")),D59)</f>
        <v>マーケットスピード II にログインして「接続中」の状態に変更してから利用してください。</v>
      </c>
      <c r="F59" t="str">
        <f>_xll.RssFOPMarket($E59,F$1)</f>
        <v/>
      </c>
      <c r="G59" t="str">
        <f>_xll.RssFOPMarket($E59,G$1)</f>
        <v/>
      </c>
      <c r="H59" t="str">
        <f>_xll.RssFOPMarket($E59,H$1)</f>
        <v/>
      </c>
      <c r="I59" t="str">
        <f>_xll.RssFOPMarket($E59,I$1)</f>
        <v/>
      </c>
      <c r="J59" t="str">
        <f>_xll.RssFOPMarket($E59,J$1)</f>
        <v/>
      </c>
      <c r="K59" t="str">
        <f>_xll.RssFOPMarket($E59,K$1)</f>
        <v/>
      </c>
      <c r="L59" t="str">
        <f>_xll.RssFOPMarket($E59,L$1)</f>
        <v/>
      </c>
      <c r="M59" t="str">
        <f>_xll.RssFOPMarket($E59,M$1)</f>
        <v/>
      </c>
      <c r="N59" t="str">
        <f>_xll.RssFOPMarket($E59,N$1)</f>
        <v/>
      </c>
      <c r="O59" t="str">
        <f>_xll.RssFOPMarket($E59,O$1)</f>
        <v/>
      </c>
      <c r="P59" t="str">
        <f>_xll.RssFOPMarket($E59,P$1)</f>
        <v/>
      </c>
      <c r="Q59" t="str">
        <f>_xll.RssFOPMarket($E59,Q$1)</f>
        <v/>
      </c>
    </row>
    <row r="60" spans="1:17" x14ac:dyDescent="0.4">
      <c r="A60" t="str">
        <f t="shared" si="0"/>
        <v>N225MOP</v>
      </c>
      <c r="B60" t="str">
        <f t="shared" si="0"/>
        <v>202311#1</v>
      </c>
      <c r="C60" t="str">
        <f t="shared" si="0"/>
        <v>C</v>
      </c>
      <c r="D60">
        <f t="shared" si="1"/>
        <v>29250</v>
      </c>
      <c r="E60" t="str">
        <f>_xll.RssFOPCode(A60,B60,IF(C60="C",1,IF(C60="P",2,"")),D60)</f>
        <v>マーケットスピード II にログインして「接続中」の状態に変更してから利用してください。</v>
      </c>
      <c r="F60" t="str">
        <f>_xll.RssFOPMarket($E60,F$1)</f>
        <v/>
      </c>
      <c r="G60" t="str">
        <f>_xll.RssFOPMarket($E60,G$1)</f>
        <v/>
      </c>
      <c r="H60" t="str">
        <f>_xll.RssFOPMarket($E60,H$1)</f>
        <v/>
      </c>
      <c r="I60" t="str">
        <f>_xll.RssFOPMarket($E60,I$1)</f>
        <v/>
      </c>
      <c r="J60" t="str">
        <f>_xll.RssFOPMarket($E60,J$1)</f>
        <v/>
      </c>
      <c r="K60" t="str">
        <f>_xll.RssFOPMarket($E60,K$1)</f>
        <v/>
      </c>
      <c r="L60" t="str">
        <f>_xll.RssFOPMarket($E60,L$1)</f>
        <v/>
      </c>
      <c r="M60" t="str">
        <f>_xll.RssFOPMarket($E60,M$1)</f>
        <v/>
      </c>
      <c r="N60" t="str">
        <f>_xll.RssFOPMarket($E60,N$1)</f>
        <v/>
      </c>
      <c r="O60" t="str">
        <f>_xll.RssFOPMarket($E60,O$1)</f>
        <v/>
      </c>
      <c r="P60" t="str">
        <f>_xll.RssFOPMarket($E60,P$1)</f>
        <v/>
      </c>
      <c r="Q60" t="str">
        <f>_xll.RssFOPMarket($E60,Q$1)</f>
        <v/>
      </c>
    </row>
    <row r="61" spans="1:17" x14ac:dyDescent="0.4">
      <c r="A61" t="str">
        <f t="shared" si="0"/>
        <v>N225MOP</v>
      </c>
      <c r="B61" t="str">
        <f t="shared" si="0"/>
        <v>202311#1</v>
      </c>
      <c r="C61" t="str">
        <f t="shared" si="0"/>
        <v>C</v>
      </c>
      <c r="D61">
        <f t="shared" si="1"/>
        <v>29125</v>
      </c>
      <c r="E61" t="str">
        <f>_xll.RssFOPCode(A61,B61,IF(C61="C",1,IF(C61="P",2,"")),D61)</f>
        <v>マーケットスピード II にログインして「接続中」の状態に変更してから利用してください。</v>
      </c>
      <c r="F61" t="str">
        <f>_xll.RssFOPMarket($E61,F$1)</f>
        <v/>
      </c>
      <c r="G61" t="str">
        <f>_xll.RssFOPMarket($E61,G$1)</f>
        <v/>
      </c>
      <c r="H61" t="str">
        <f>_xll.RssFOPMarket($E61,H$1)</f>
        <v/>
      </c>
      <c r="I61" t="str">
        <f>_xll.RssFOPMarket($E61,I$1)</f>
        <v/>
      </c>
      <c r="J61" t="str">
        <f>_xll.RssFOPMarket($E61,J$1)</f>
        <v/>
      </c>
      <c r="K61" t="str">
        <f>_xll.RssFOPMarket($E61,K$1)</f>
        <v/>
      </c>
      <c r="L61" t="str">
        <f>_xll.RssFOPMarket($E61,L$1)</f>
        <v/>
      </c>
      <c r="M61" t="str">
        <f>_xll.RssFOPMarket($E61,M$1)</f>
        <v/>
      </c>
      <c r="N61" t="str">
        <f>_xll.RssFOPMarket($E61,N$1)</f>
        <v/>
      </c>
      <c r="O61" t="str">
        <f>_xll.RssFOPMarket($E61,O$1)</f>
        <v/>
      </c>
      <c r="P61" t="str">
        <f>_xll.RssFOPMarket($E61,P$1)</f>
        <v/>
      </c>
      <c r="Q61" t="str">
        <f>_xll.RssFOPMarket($E61,Q$1)</f>
        <v/>
      </c>
    </row>
    <row r="62" spans="1:17" x14ac:dyDescent="0.4">
      <c r="A62" t="str">
        <f t="shared" si="0"/>
        <v>N225MOP</v>
      </c>
      <c r="B62" t="str">
        <f t="shared" si="0"/>
        <v>202311#1</v>
      </c>
      <c r="C62" t="str">
        <f t="shared" si="0"/>
        <v>C</v>
      </c>
      <c r="D62">
        <f t="shared" si="1"/>
        <v>29000</v>
      </c>
      <c r="E62" t="str">
        <f>_xll.RssFOPCode(A62,B62,IF(C62="C",1,IF(C62="P",2,"")),D62)</f>
        <v>マーケットスピード II にログインして「接続中」の状態に変更してから利用してください。</v>
      </c>
      <c r="F62" t="str">
        <f>_xll.RssFOPMarket($E62,F$1)</f>
        <v/>
      </c>
      <c r="G62" t="str">
        <f>_xll.RssFOPMarket($E62,G$1)</f>
        <v/>
      </c>
      <c r="H62" t="str">
        <f>_xll.RssFOPMarket($E62,H$1)</f>
        <v/>
      </c>
      <c r="I62" t="str">
        <f>_xll.RssFOPMarket($E62,I$1)</f>
        <v/>
      </c>
      <c r="J62" t="str">
        <f>_xll.RssFOPMarket($E62,J$1)</f>
        <v/>
      </c>
      <c r="K62" t="str">
        <f>_xll.RssFOPMarket($E62,K$1)</f>
        <v/>
      </c>
      <c r="L62" t="str">
        <f>_xll.RssFOPMarket($E62,L$1)</f>
        <v/>
      </c>
      <c r="M62" t="str">
        <f>_xll.RssFOPMarket($E62,M$1)</f>
        <v/>
      </c>
      <c r="N62" t="str">
        <f>_xll.RssFOPMarket($E62,N$1)</f>
        <v/>
      </c>
      <c r="O62" t="str">
        <f>_xll.RssFOPMarket($E62,O$1)</f>
        <v/>
      </c>
      <c r="P62" t="str">
        <f>_xll.RssFOPMarket($E62,P$1)</f>
        <v/>
      </c>
      <c r="Q62" t="str">
        <f>_xll.RssFOPMarket($E62,Q$1)</f>
        <v/>
      </c>
    </row>
    <row r="63" spans="1:17" x14ac:dyDescent="0.4">
      <c r="A63" t="str">
        <f t="shared" si="0"/>
        <v>N225MOP</v>
      </c>
      <c r="B63" t="str">
        <f t="shared" si="0"/>
        <v>202311#1</v>
      </c>
      <c r="C63" t="str">
        <f t="shared" si="0"/>
        <v>C</v>
      </c>
      <c r="D63">
        <f t="shared" si="1"/>
        <v>28875</v>
      </c>
      <c r="E63" t="str">
        <f>_xll.RssFOPCode(A63,B63,IF(C63="C",1,IF(C63="P",2,"")),D63)</f>
        <v>マーケットスピード II にログインして「接続中」の状態に変更してから利用してください。</v>
      </c>
      <c r="F63" t="str">
        <f>_xll.RssFOPMarket($E63,F$1)</f>
        <v/>
      </c>
      <c r="G63" t="str">
        <f>_xll.RssFOPMarket($E63,G$1)</f>
        <v/>
      </c>
      <c r="H63" t="str">
        <f>_xll.RssFOPMarket($E63,H$1)</f>
        <v/>
      </c>
      <c r="I63" t="str">
        <f>_xll.RssFOPMarket($E63,I$1)</f>
        <v/>
      </c>
      <c r="J63" t="str">
        <f>_xll.RssFOPMarket($E63,J$1)</f>
        <v/>
      </c>
      <c r="K63" t="str">
        <f>_xll.RssFOPMarket($E63,K$1)</f>
        <v/>
      </c>
      <c r="L63" t="str">
        <f>_xll.RssFOPMarket($E63,L$1)</f>
        <v/>
      </c>
      <c r="M63" t="str">
        <f>_xll.RssFOPMarket($E63,M$1)</f>
        <v/>
      </c>
      <c r="N63" t="str">
        <f>_xll.RssFOPMarket($E63,N$1)</f>
        <v/>
      </c>
      <c r="O63" t="str">
        <f>_xll.RssFOPMarket($E63,O$1)</f>
        <v/>
      </c>
      <c r="P63" t="str">
        <f>_xll.RssFOPMarket($E63,P$1)</f>
        <v/>
      </c>
      <c r="Q63" t="str">
        <f>_xll.RssFOPMarket($E63,Q$1)</f>
        <v/>
      </c>
    </row>
    <row r="64" spans="1:17" x14ac:dyDescent="0.4">
      <c r="A64" t="str">
        <f t="shared" si="0"/>
        <v>N225MOP</v>
      </c>
      <c r="B64" t="str">
        <f t="shared" si="0"/>
        <v>202311#1</v>
      </c>
      <c r="C64" t="str">
        <f t="shared" si="0"/>
        <v>C</v>
      </c>
      <c r="D64">
        <f t="shared" si="1"/>
        <v>28750</v>
      </c>
      <c r="E64" t="str">
        <f>_xll.RssFOPCode(A64,B64,IF(C64="C",1,IF(C64="P",2,"")),D64)</f>
        <v>マーケットスピード II にログインして「接続中」の状態に変更してから利用してください。</v>
      </c>
      <c r="F64" t="str">
        <f>_xll.RssFOPMarket($E64,F$1)</f>
        <v/>
      </c>
      <c r="G64" t="str">
        <f>_xll.RssFOPMarket($E64,G$1)</f>
        <v/>
      </c>
      <c r="H64" t="str">
        <f>_xll.RssFOPMarket($E64,H$1)</f>
        <v/>
      </c>
      <c r="I64" t="str">
        <f>_xll.RssFOPMarket($E64,I$1)</f>
        <v/>
      </c>
      <c r="J64" t="str">
        <f>_xll.RssFOPMarket($E64,J$1)</f>
        <v/>
      </c>
      <c r="K64" t="str">
        <f>_xll.RssFOPMarket($E64,K$1)</f>
        <v/>
      </c>
      <c r="L64" t="str">
        <f>_xll.RssFOPMarket($E64,L$1)</f>
        <v/>
      </c>
      <c r="M64" t="str">
        <f>_xll.RssFOPMarket($E64,M$1)</f>
        <v/>
      </c>
      <c r="N64" t="str">
        <f>_xll.RssFOPMarket($E64,N$1)</f>
        <v/>
      </c>
      <c r="O64" t="str">
        <f>_xll.RssFOPMarket($E64,O$1)</f>
        <v/>
      </c>
      <c r="P64" t="str">
        <f>_xll.RssFOPMarket($E64,P$1)</f>
        <v/>
      </c>
      <c r="Q64" t="str">
        <f>_xll.RssFOPMarket($E64,Q$1)</f>
        <v/>
      </c>
    </row>
    <row r="65" spans="1:17" x14ac:dyDescent="0.4">
      <c r="A65" t="str">
        <f t="shared" si="0"/>
        <v>N225MOP</v>
      </c>
      <c r="B65" t="str">
        <f t="shared" si="0"/>
        <v>202311#1</v>
      </c>
      <c r="C65" t="str">
        <f t="shared" si="0"/>
        <v>C</v>
      </c>
      <c r="D65">
        <f t="shared" si="1"/>
        <v>28625</v>
      </c>
      <c r="E65" t="str">
        <f>_xll.RssFOPCode(A65,B65,IF(C65="C",1,IF(C65="P",2,"")),D65)</f>
        <v>マーケットスピード II にログインして「接続中」の状態に変更してから利用してください。</v>
      </c>
      <c r="F65" t="str">
        <f>_xll.RssFOPMarket($E65,F$1)</f>
        <v/>
      </c>
      <c r="G65" t="str">
        <f>_xll.RssFOPMarket($E65,G$1)</f>
        <v/>
      </c>
      <c r="H65" t="str">
        <f>_xll.RssFOPMarket($E65,H$1)</f>
        <v/>
      </c>
      <c r="I65" t="str">
        <f>_xll.RssFOPMarket($E65,I$1)</f>
        <v/>
      </c>
      <c r="J65" t="str">
        <f>_xll.RssFOPMarket($E65,J$1)</f>
        <v/>
      </c>
      <c r="K65" t="str">
        <f>_xll.RssFOPMarket($E65,K$1)</f>
        <v/>
      </c>
      <c r="L65" t="str">
        <f>_xll.RssFOPMarket($E65,L$1)</f>
        <v/>
      </c>
      <c r="M65" t="str">
        <f>_xll.RssFOPMarket($E65,M$1)</f>
        <v/>
      </c>
      <c r="N65" t="str">
        <f>_xll.RssFOPMarket($E65,N$1)</f>
        <v/>
      </c>
      <c r="O65" t="str">
        <f>_xll.RssFOPMarket($E65,O$1)</f>
        <v/>
      </c>
      <c r="P65" t="str">
        <f>_xll.RssFOPMarket($E65,P$1)</f>
        <v/>
      </c>
      <c r="Q65" t="str">
        <f>_xll.RssFOPMarket($E65,Q$1)</f>
        <v/>
      </c>
    </row>
    <row r="66" spans="1:17" x14ac:dyDescent="0.4">
      <c r="A66" t="str">
        <f t="shared" si="0"/>
        <v>N225MOP</v>
      </c>
      <c r="B66" t="str">
        <f t="shared" si="0"/>
        <v>202311#1</v>
      </c>
      <c r="C66" t="str">
        <f t="shared" si="0"/>
        <v>C</v>
      </c>
      <c r="D66">
        <f t="shared" si="1"/>
        <v>28500</v>
      </c>
      <c r="E66" t="str">
        <f>_xll.RssFOPCode(A66,B66,IF(C66="C",1,IF(C66="P",2,"")),D66)</f>
        <v>マーケットスピード II にログインして「接続中」の状態に変更してから利用してください。</v>
      </c>
      <c r="F66" t="str">
        <f>_xll.RssFOPMarket($E66,F$1)</f>
        <v/>
      </c>
      <c r="G66" t="str">
        <f>_xll.RssFOPMarket($E66,G$1)</f>
        <v/>
      </c>
      <c r="H66" t="str">
        <f>_xll.RssFOPMarket($E66,H$1)</f>
        <v/>
      </c>
      <c r="I66" t="str">
        <f>_xll.RssFOPMarket($E66,I$1)</f>
        <v/>
      </c>
      <c r="J66" t="str">
        <f>_xll.RssFOPMarket($E66,J$1)</f>
        <v/>
      </c>
      <c r="K66" t="str">
        <f>_xll.RssFOPMarket($E66,K$1)</f>
        <v/>
      </c>
      <c r="L66" t="str">
        <f>_xll.RssFOPMarket($E66,L$1)</f>
        <v/>
      </c>
      <c r="M66" t="str">
        <f>_xll.RssFOPMarket($E66,M$1)</f>
        <v/>
      </c>
      <c r="N66" t="str">
        <f>_xll.RssFOPMarket($E66,N$1)</f>
        <v/>
      </c>
      <c r="O66" t="str">
        <f>_xll.RssFOPMarket($E66,O$1)</f>
        <v/>
      </c>
      <c r="P66" t="str">
        <f>_xll.RssFOPMarket($E66,P$1)</f>
        <v/>
      </c>
      <c r="Q66" t="str">
        <f>_xll.RssFOPMarket($E66,Q$1)</f>
        <v/>
      </c>
    </row>
    <row r="67" spans="1:17" x14ac:dyDescent="0.4">
      <c r="A67" t="str">
        <f t="shared" si="0"/>
        <v>N225MOP</v>
      </c>
      <c r="B67" t="str">
        <f t="shared" si="0"/>
        <v>202311#1</v>
      </c>
      <c r="C67" t="str">
        <f t="shared" si="0"/>
        <v>C</v>
      </c>
      <c r="D67">
        <f t="shared" si="1"/>
        <v>28375</v>
      </c>
      <c r="E67" t="str">
        <f>_xll.RssFOPCode(A67,B67,IF(C67="C",1,IF(C67="P",2,"")),D67)</f>
        <v>マーケットスピード II にログインして「接続中」の状態に変更してから利用してください。</v>
      </c>
      <c r="F67" t="str">
        <f>_xll.RssFOPMarket($E67,F$1)</f>
        <v/>
      </c>
      <c r="G67" t="str">
        <f>_xll.RssFOPMarket($E67,G$1)</f>
        <v/>
      </c>
      <c r="H67" t="str">
        <f>_xll.RssFOPMarket($E67,H$1)</f>
        <v/>
      </c>
      <c r="I67" t="str">
        <f>_xll.RssFOPMarket($E67,I$1)</f>
        <v/>
      </c>
      <c r="J67" t="str">
        <f>_xll.RssFOPMarket($E67,J$1)</f>
        <v/>
      </c>
      <c r="K67" t="str">
        <f>_xll.RssFOPMarket($E67,K$1)</f>
        <v/>
      </c>
      <c r="L67" t="str">
        <f>_xll.RssFOPMarket($E67,L$1)</f>
        <v/>
      </c>
      <c r="M67" t="str">
        <f>_xll.RssFOPMarket($E67,M$1)</f>
        <v/>
      </c>
      <c r="N67" t="str">
        <f>_xll.RssFOPMarket($E67,N$1)</f>
        <v/>
      </c>
      <c r="O67" t="str">
        <f>_xll.RssFOPMarket($E67,O$1)</f>
        <v/>
      </c>
      <c r="P67" t="str">
        <f>_xll.RssFOPMarket($E67,P$1)</f>
        <v/>
      </c>
      <c r="Q67" t="str">
        <f>_xll.RssFOPMarket($E67,Q$1)</f>
        <v/>
      </c>
    </row>
    <row r="68" spans="1:17" x14ac:dyDescent="0.4">
      <c r="A68" t="str">
        <f>A67</f>
        <v>N225MOP</v>
      </c>
      <c r="B68" t="str">
        <f>B67</f>
        <v>202311#1</v>
      </c>
      <c r="C68" t="str">
        <f>C67</f>
        <v>C</v>
      </c>
      <c r="D68">
        <f>D67-125</f>
        <v>28250</v>
      </c>
      <c r="E68" t="str">
        <f>_xll.RssFOPCode(A68,B68,IF(C68="C",1,IF(C68="P",2,"")),D68)</f>
        <v>マーケットスピード II にログインして「接続中」の状態に変更してから利用してください。</v>
      </c>
      <c r="F68" t="str">
        <f>_xll.RssFOPMarket($E68,F$1)</f>
        <v/>
      </c>
      <c r="G68" t="str">
        <f>_xll.RssFOPMarket($E68,G$1)</f>
        <v/>
      </c>
      <c r="H68" t="str">
        <f>_xll.RssFOPMarket($E68,H$1)</f>
        <v/>
      </c>
      <c r="I68" t="str">
        <f>_xll.RssFOPMarket($E68,I$1)</f>
        <v/>
      </c>
      <c r="J68" t="str">
        <f>_xll.RssFOPMarket($E68,J$1)</f>
        <v/>
      </c>
      <c r="K68" t="str">
        <f>_xll.RssFOPMarket($E68,K$1)</f>
        <v/>
      </c>
      <c r="L68" t="str">
        <f>_xll.RssFOPMarket($E68,L$1)</f>
        <v/>
      </c>
      <c r="M68" t="str">
        <f>_xll.RssFOPMarket($E68,M$1)</f>
        <v/>
      </c>
      <c r="N68" t="str">
        <f>_xll.RssFOPMarket($E68,N$1)</f>
        <v/>
      </c>
      <c r="O68" t="str">
        <f>_xll.RssFOPMarket($E68,O$1)</f>
        <v/>
      </c>
      <c r="P68" t="str">
        <f>_xll.RssFOPMarket($E68,P$1)</f>
        <v/>
      </c>
      <c r="Q68" t="str">
        <f>_xll.RssFOPMarket($E68,Q$1)</f>
        <v/>
      </c>
    </row>
    <row r="101" spans="1:17" x14ac:dyDescent="0.4">
      <c r="A101" t="s">
        <v>23</v>
      </c>
      <c r="B101" t="s">
        <v>24</v>
      </c>
      <c r="C101" t="s">
        <v>13</v>
      </c>
      <c r="D101" t="s">
        <v>25</v>
      </c>
      <c r="E101" t="s">
        <v>26</v>
      </c>
      <c r="F101" t="s">
        <v>27</v>
      </c>
      <c r="G101" t="s">
        <v>28</v>
      </c>
      <c r="H101" t="s">
        <v>29</v>
      </c>
      <c r="I101" t="s">
        <v>30</v>
      </c>
      <c r="J101" t="s">
        <v>31</v>
      </c>
      <c r="K101" t="s">
        <v>32</v>
      </c>
      <c r="L101" t="s">
        <v>33</v>
      </c>
      <c r="M101" t="s">
        <v>34</v>
      </c>
      <c r="N101" t="s">
        <v>35</v>
      </c>
      <c r="O101" t="s">
        <v>36</v>
      </c>
      <c r="P101" t="s">
        <v>37</v>
      </c>
      <c r="Q101" t="s">
        <v>38</v>
      </c>
    </row>
    <row r="102" spans="1:17" x14ac:dyDescent="0.4">
      <c r="A102" t="s">
        <v>14</v>
      </c>
      <c r="B102" t="s">
        <v>20</v>
      </c>
      <c r="C102" t="s">
        <v>16</v>
      </c>
      <c r="D102">
        <v>36500</v>
      </c>
      <c r="E102" t="s">
        <v>90</v>
      </c>
    </row>
    <row r="103" spans="1:17" x14ac:dyDescent="0.4">
      <c r="A103" t="s">
        <v>14</v>
      </c>
      <c r="B103" t="s">
        <v>20</v>
      </c>
      <c r="C103" t="s">
        <v>16</v>
      </c>
      <c r="D103">
        <v>36375</v>
      </c>
      <c r="E103" t="s">
        <v>90</v>
      </c>
    </row>
    <row r="104" spans="1:17" x14ac:dyDescent="0.4">
      <c r="A104" t="s">
        <v>14</v>
      </c>
      <c r="B104" t="s">
        <v>20</v>
      </c>
      <c r="C104" t="s">
        <v>16</v>
      </c>
      <c r="D104">
        <v>36250</v>
      </c>
      <c r="E104" t="s">
        <v>90</v>
      </c>
    </row>
    <row r="105" spans="1:17" x14ac:dyDescent="0.4">
      <c r="A105" t="s">
        <v>14</v>
      </c>
      <c r="B105" t="s">
        <v>20</v>
      </c>
      <c r="C105" t="s">
        <v>16</v>
      </c>
      <c r="D105">
        <v>36125</v>
      </c>
      <c r="E105" t="s">
        <v>90</v>
      </c>
    </row>
    <row r="106" spans="1:17" x14ac:dyDescent="0.4">
      <c r="A106" t="s">
        <v>14</v>
      </c>
      <c r="B106" t="s">
        <v>20</v>
      </c>
      <c r="C106" t="s">
        <v>16</v>
      </c>
      <c r="D106">
        <v>36000</v>
      </c>
      <c r="E106" t="s">
        <v>90</v>
      </c>
    </row>
    <row r="107" spans="1:17" x14ac:dyDescent="0.4">
      <c r="A107" t="s">
        <v>14</v>
      </c>
      <c r="B107" t="s">
        <v>20</v>
      </c>
      <c r="C107" t="s">
        <v>16</v>
      </c>
      <c r="D107">
        <v>35875</v>
      </c>
      <c r="E107" t="s">
        <v>90</v>
      </c>
    </row>
    <row r="108" spans="1:17" x14ac:dyDescent="0.4">
      <c r="A108" t="s">
        <v>14</v>
      </c>
      <c r="B108" t="s">
        <v>20</v>
      </c>
      <c r="C108" t="s">
        <v>16</v>
      </c>
      <c r="D108">
        <v>35750</v>
      </c>
      <c r="E108" t="s">
        <v>90</v>
      </c>
    </row>
    <row r="109" spans="1:17" x14ac:dyDescent="0.4">
      <c r="A109" t="s">
        <v>14</v>
      </c>
      <c r="B109" t="s">
        <v>20</v>
      </c>
      <c r="C109" t="s">
        <v>16</v>
      </c>
      <c r="D109">
        <v>35625</v>
      </c>
      <c r="E109" t="s">
        <v>90</v>
      </c>
    </row>
    <row r="110" spans="1:17" x14ac:dyDescent="0.4">
      <c r="A110" t="s">
        <v>14</v>
      </c>
      <c r="B110" t="s">
        <v>20</v>
      </c>
      <c r="C110" t="s">
        <v>16</v>
      </c>
      <c r="D110">
        <v>35500</v>
      </c>
      <c r="E110" t="s">
        <v>90</v>
      </c>
    </row>
    <row r="111" spans="1:17" x14ac:dyDescent="0.4">
      <c r="A111" t="s">
        <v>14</v>
      </c>
      <c r="B111" t="s">
        <v>20</v>
      </c>
      <c r="C111" t="s">
        <v>16</v>
      </c>
      <c r="D111">
        <v>35375</v>
      </c>
      <c r="E111" t="s">
        <v>90</v>
      </c>
    </row>
    <row r="112" spans="1:17" x14ac:dyDescent="0.4">
      <c r="A112" t="s">
        <v>14</v>
      </c>
      <c r="B112" t="s">
        <v>20</v>
      </c>
      <c r="C112" t="s">
        <v>16</v>
      </c>
      <c r="D112">
        <v>35250</v>
      </c>
      <c r="E112" t="s">
        <v>90</v>
      </c>
    </row>
    <row r="113" spans="1:5" x14ac:dyDescent="0.4">
      <c r="A113" t="s">
        <v>14</v>
      </c>
      <c r="B113" t="s">
        <v>20</v>
      </c>
      <c r="C113" t="s">
        <v>16</v>
      </c>
      <c r="D113">
        <v>35125</v>
      </c>
      <c r="E113" t="s">
        <v>90</v>
      </c>
    </row>
    <row r="114" spans="1:5" x14ac:dyDescent="0.4">
      <c r="A114" t="s">
        <v>14</v>
      </c>
      <c r="B114" t="s">
        <v>20</v>
      </c>
      <c r="C114" t="s">
        <v>16</v>
      </c>
      <c r="D114">
        <v>35000</v>
      </c>
      <c r="E114" t="s">
        <v>90</v>
      </c>
    </row>
    <row r="115" spans="1:5" x14ac:dyDescent="0.4">
      <c r="A115" t="s">
        <v>14</v>
      </c>
      <c r="B115" t="s">
        <v>20</v>
      </c>
      <c r="C115" t="s">
        <v>16</v>
      </c>
      <c r="D115">
        <v>34875</v>
      </c>
      <c r="E115" t="s">
        <v>90</v>
      </c>
    </row>
    <row r="116" spans="1:5" x14ac:dyDescent="0.4">
      <c r="A116" t="s">
        <v>14</v>
      </c>
      <c r="B116" t="s">
        <v>20</v>
      </c>
      <c r="C116" t="s">
        <v>16</v>
      </c>
      <c r="D116">
        <v>34750</v>
      </c>
      <c r="E116" t="s">
        <v>90</v>
      </c>
    </row>
    <row r="117" spans="1:5" x14ac:dyDescent="0.4">
      <c r="A117" t="s">
        <v>14</v>
      </c>
      <c r="B117" t="s">
        <v>20</v>
      </c>
      <c r="C117" t="s">
        <v>16</v>
      </c>
      <c r="D117">
        <v>34625</v>
      </c>
      <c r="E117" t="s">
        <v>90</v>
      </c>
    </row>
    <row r="118" spans="1:5" x14ac:dyDescent="0.4">
      <c r="A118" t="s">
        <v>14</v>
      </c>
      <c r="B118" t="s">
        <v>20</v>
      </c>
      <c r="C118" t="s">
        <v>16</v>
      </c>
      <c r="D118">
        <v>34500</v>
      </c>
      <c r="E118" t="s">
        <v>90</v>
      </c>
    </row>
    <row r="119" spans="1:5" x14ac:dyDescent="0.4">
      <c r="A119" t="s">
        <v>14</v>
      </c>
      <c r="B119" t="s">
        <v>20</v>
      </c>
      <c r="C119" t="s">
        <v>16</v>
      </c>
      <c r="D119">
        <v>34375</v>
      </c>
      <c r="E119" t="s">
        <v>90</v>
      </c>
    </row>
    <row r="120" spans="1:5" x14ac:dyDescent="0.4">
      <c r="A120" t="s">
        <v>14</v>
      </c>
      <c r="B120" t="s">
        <v>20</v>
      </c>
      <c r="C120" t="s">
        <v>16</v>
      </c>
      <c r="D120">
        <v>34250</v>
      </c>
      <c r="E120" t="s">
        <v>90</v>
      </c>
    </row>
    <row r="121" spans="1:5" x14ac:dyDescent="0.4">
      <c r="A121" t="s">
        <v>14</v>
      </c>
      <c r="B121" t="s">
        <v>20</v>
      </c>
      <c r="C121" t="s">
        <v>16</v>
      </c>
      <c r="D121">
        <v>34125</v>
      </c>
      <c r="E121" t="s">
        <v>90</v>
      </c>
    </row>
    <row r="122" spans="1:5" x14ac:dyDescent="0.4">
      <c r="A122" t="s">
        <v>14</v>
      </c>
      <c r="B122" t="s">
        <v>20</v>
      </c>
      <c r="C122" t="s">
        <v>16</v>
      </c>
      <c r="D122">
        <v>34000</v>
      </c>
      <c r="E122" t="s">
        <v>90</v>
      </c>
    </row>
    <row r="123" spans="1:5" x14ac:dyDescent="0.4">
      <c r="A123" t="s">
        <v>14</v>
      </c>
      <c r="B123" t="s">
        <v>20</v>
      </c>
      <c r="C123" t="s">
        <v>16</v>
      </c>
      <c r="D123">
        <v>33875</v>
      </c>
      <c r="E123" t="s">
        <v>90</v>
      </c>
    </row>
    <row r="124" spans="1:5" x14ac:dyDescent="0.4">
      <c r="A124" t="s">
        <v>14</v>
      </c>
      <c r="B124" t="s">
        <v>20</v>
      </c>
      <c r="C124" t="s">
        <v>16</v>
      </c>
      <c r="D124">
        <v>33750</v>
      </c>
      <c r="E124" t="s">
        <v>90</v>
      </c>
    </row>
    <row r="125" spans="1:5" x14ac:dyDescent="0.4">
      <c r="A125" t="s">
        <v>14</v>
      </c>
      <c r="B125" t="s">
        <v>20</v>
      </c>
      <c r="C125" t="s">
        <v>16</v>
      </c>
      <c r="D125">
        <v>33625</v>
      </c>
      <c r="E125" t="s">
        <v>90</v>
      </c>
    </row>
    <row r="126" spans="1:5" x14ac:dyDescent="0.4">
      <c r="A126" t="s">
        <v>14</v>
      </c>
      <c r="B126" t="s">
        <v>20</v>
      </c>
      <c r="C126" t="s">
        <v>16</v>
      </c>
      <c r="D126">
        <v>33500</v>
      </c>
      <c r="E126" t="s">
        <v>90</v>
      </c>
    </row>
    <row r="127" spans="1:5" x14ac:dyDescent="0.4">
      <c r="A127" t="s">
        <v>14</v>
      </c>
      <c r="B127" t="s">
        <v>20</v>
      </c>
      <c r="C127" t="s">
        <v>16</v>
      </c>
      <c r="D127">
        <v>33375</v>
      </c>
      <c r="E127" t="s">
        <v>90</v>
      </c>
    </row>
    <row r="128" spans="1:5" x14ac:dyDescent="0.4">
      <c r="A128" t="s">
        <v>14</v>
      </c>
      <c r="B128" t="s">
        <v>20</v>
      </c>
      <c r="C128" t="s">
        <v>16</v>
      </c>
      <c r="D128">
        <v>33250</v>
      </c>
      <c r="E128" t="s">
        <v>90</v>
      </c>
    </row>
    <row r="129" spans="1:6" x14ac:dyDescent="0.4">
      <c r="A129" t="s">
        <v>14</v>
      </c>
      <c r="B129" t="s">
        <v>20</v>
      </c>
      <c r="C129" t="s">
        <v>16</v>
      </c>
      <c r="D129">
        <v>33125</v>
      </c>
      <c r="E129" t="s">
        <v>90</v>
      </c>
      <c r="F129" s="2"/>
    </row>
    <row r="130" spans="1:6" x14ac:dyDescent="0.4">
      <c r="A130" t="s">
        <v>14</v>
      </c>
      <c r="B130" t="s">
        <v>20</v>
      </c>
      <c r="C130" t="s">
        <v>16</v>
      </c>
      <c r="D130">
        <v>33000</v>
      </c>
      <c r="E130" t="s">
        <v>90</v>
      </c>
    </row>
    <row r="131" spans="1:6" x14ac:dyDescent="0.4">
      <c r="A131" t="s">
        <v>14</v>
      </c>
      <c r="B131" t="s">
        <v>20</v>
      </c>
      <c r="C131" t="s">
        <v>16</v>
      </c>
      <c r="D131">
        <v>32875</v>
      </c>
      <c r="E131" t="s">
        <v>90</v>
      </c>
    </row>
    <row r="132" spans="1:6" x14ac:dyDescent="0.4">
      <c r="A132" t="s">
        <v>14</v>
      </c>
      <c r="B132" t="s">
        <v>20</v>
      </c>
      <c r="C132" t="s">
        <v>16</v>
      </c>
      <c r="D132">
        <v>32750</v>
      </c>
      <c r="E132" t="s">
        <v>90</v>
      </c>
    </row>
    <row r="133" spans="1:6" x14ac:dyDescent="0.4">
      <c r="A133" t="s">
        <v>14</v>
      </c>
      <c r="B133" t="s">
        <v>20</v>
      </c>
      <c r="C133" t="s">
        <v>16</v>
      </c>
      <c r="D133">
        <v>32625</v>
      </c>
      <c r="E133" t="s">
        <v>90</v>
      </c>
    </row>
    <row r="134" spans="1:6" x14ac:dyDescent="0.4">
      <c r="A134" t="s">
        <v>14</v>
      </c>
      <c r="B134" t="s">
        <v>20</v>
      </c>
      <c r="C134" t="s">
        <v>16</v>
      </c>
      <c r="D134">
        <v>32500</v>
      </c>
      <c r="E134" t="s">
        <v>90</v>
      </c>
    </row>
    <row r="135" spans="1:6" x14ac:dyDescent="0.4">
      <c r="A135" t="s">
        <v>14</v>
      </c>
      <c r="B135" t="s">
        <v>20</v>
      </c>
      <c r="C135" t="s">
        <v>16</v>
      </c>
      <c r="D135">
        <v>32375</v>
      </c>
      <c r="E135" t="s">
        <v>90</v>
      </c>
    </row>
    <row r="136" spans="1:6" x14ac:dyDescent="0.4">
      <c r="A136" t="s">
        <v>14</v>
      </c>
      <c r="B136" t="s">
        <v>20</v>
      </c>
      <c r="C136" t="s">
        <v>16</v>
      </c>
      <c r="D136">
        <v>32250</v>
      </c>
      <c r="E136" t="s">
        <v>90</v>
      </c>
    </row>
    <row r="137" spans="1:6" x14ac:dyDescent="0.4">
      <c r="A137" t="s">
        <v>14</v>
      </c>
      <c r="B137" t="s">
        <v>20</v>
      </c>
      <c r="C137" t="s">
        <v>16</v>
      </c>
      <c r="D137">
        <v>32125</v>
      </c>
      <c r="E137" t="s">
        <v>90</v>
      </c>
    </row>
    <row r="138" spans="1:6" x14ac:dyDescent="0.4">
      <c r="A138" t="s">
        <v>14</v>
      </c>
      <c r="B138" t="s">
        <v>20</v>
      </c>
      <c r="C138" t="s">
        <v>15</v>
      </c>
      <c r="D138">
        <v>32000</v>
      </c>
      <c r="E138" t="s">
        <v>90</v>
      </c>
    </row>
    <row r="139" spans="1:6" x14ac:dyDescent="0.4">
      <c r="A139" t="s">
        <v>14</v>
      </c>
      <c r="B139" t="s">
        <v>20</v>
      </c>
      <c r="C139" t="s">
        <v>15</v>
      </c>
      <c r="D139">
        <v>31875</v>
      </c>
      <c r="E139" t="s">
        <v>90</v>
      </c>
    </row>
    <row r="140" spans="1:6" x14ac:dyDescent="0.4">
      <c r="A140" t="s">
        <v>14</v>
      </c>
      <c r="B140" t="s">
        <v>20</v>
      </c>
      <c r="C140" t="s">
        <v>15</v>
      </c>
      <c r="D140">
        <v>31750</v>
      </c>
      <c r="E140" t="s">
        <v>90</v>
      </c>
    </row>
    <row r="141" spans="1:6" x14ac:dyDescent="0.4">
      <c r="A141" t="s">
        <v>14</v>
      </c>
      <c r="B141" t="s">
        <v>20</v>
      </c>
      <c r="C141" t="s">
        <v>15</v>
      </c>
      <c r="D141">
        <v>31625</v>
      </c>
      <c r="E141" t="s">
        <v>90</v>
      </c>
    </row>
    <row r="142" spans="1:6" x14ac:dyDescent="0.4">
      <c r="A142" t="s">
        <v>14</v>
      </c>
      <c r="B142" t="s">
        <v>20</v>
      </c>
      <c r="C142" t="s">
        <v>15</v>
      </c>
      <c r="D142">
        <v>31500</v>
      </c>
      <c r="E142" t="s">
        <v>90</v>
      </c>
    </row>
    <row r="143" spans="1:6" x14ac:dyDescent="0.4">
      <c r="A143" t="s">
        <v>14</v>
      </c>
      <c r="B143" t="s">
        <v>20</v>
      </c>
      <c r="C143" t="s">
        <v>15</v>
      </c>
      <c r="D143">
        <v>31375</v>
      </c>
      <c r="E143" t="s">
        <v>90</v>
      </c>
    </row>
    <row r="144" spans="1:6" x14ac:dyDescent="0.4">
      <c r="A144" t="s">
        <v>14</v>
      </c>
      <c r="B144" t="s">
        <v>20</v>
      </c>
      <c r="C144" t="s">
        <v>15</v>
      </c>
      <c r="D144">
        <v>31250</v>
      </c>
      <c r="E144" t="s">
        <v>90</v>
      </c>
    </row>
    <row r="145" spans="1:5" x14ac:dyDescent="0.4">
      <c r="A145" t="s">
        <v>14</v>
      </c>
      <c r="B145" t="s">
        <v>20</v>
      </c>
      <c r="C145" t="s">
        <v>15</v>
      </c>
      <c r="D145">
        <v>31125</v>
      </c>
      <c r="E145" t="s">
        <v>90</v>
      </c>
    </row>
    <row r="146" spans="1:5" x14ac:dyDescent="0.4">
      <c r="A146" t="s">
        <v>14</v>
      </c>
      <c r="B146" t="s">
        <v>20</v>
      </c>
      <c r="C146" t="s">
        <v>15</v>
      </c>
      <c r="D146">
        <v>31000</v>
      </c>
      <c r="E146" t="s">
        <v>90</v>
      </c>
    </row>
    <row r="147" spans="1:5" x14ac:dyDescent="0.4">
      <c r="A147" t="s">
        <v>14</v>
      </c>
      <c r="B147" t="s">
        <v>20</v>
      </c>
      <c r="C147" t="s">
        <v>15</v>
      </c>
      <c r="D147">
        <v>30875</v>
      </c>
      <c r="E147" t="s">
        <v>90</v>
      </c>
    </row>
    <row r="148" spans="1:5" x14ac:dyDescent="0.4">
      <c r="A148" t="s">
        <v>14</v>
      </c>
      <c r="B148" t="s">
        <v>20</v>
      </c>
      <c r="C148" t="s">
        <v>15</v>
      </c>
      <c r="D148">
        <v>30750</v>
      </c>
      <c r="E148" t="s">
        <v>90</v>
      </c>
    </row>
    <row r="149" spans="1:5" x14ac:dyDescent="0.4">
      <c r="A149" t="s">
        <v>14</v>
      </c>
      <c r="B149" t="s">
        <v>20</v>
      </c>
      <c r="C149" t="s">
        <v>15</v>
      </c>
      <c r="D149">
        <v>30625</v>
      </c>
      <c r="E149" t="s">
        <v>90</v>
      </c>
    </row>
    <row r="150" spans="1:5" x14ac:dyDescent="0.4">
      <c r="A150" t="s">
        <v>14</v>
      </c>
      <c r="B150" t="s">
        <v>20</v>
      </c>
      <c r="C150" t="s">
        <v>15</v>
      </c>
      <c r="D150">
        <v>30500</v>
      </c>
      <c r="E150" t="s">
        <v>90</v>
      </c>
    </row>
    <row r="151" spans="1:5" x14ac:dyDescent="0.4">
      <c r="A151" t="s">
        <v>14</v>
      </c>
      <c r="B151" t="s">
        <v>20</v>
      </c>
      <c r="C151" t="s">
        <v>15</v>
      </c>
      <c r="D151">
        <v>30375</v>
      </c>
      <c r="E151" t="s">
        <v>90</v>
      </c>
    </row>
    <row r="152" spans="1:5" x14ac:dyDescent="0.4">
      <c r="A152" t="s">
        <v>14</v>
      </c>
      <c r="B152" t="s">
        <v>20</v>
      </c>
      <c r="C152" t="s">
        <v>15</v>
      </c>
      <c r="D152">
        <v>30250</v>
      </c>
      <c r="E152" t="s">
        <v>90</v>
      </c>
    </row>
    <row r="153" spans="1:5" x14ac:dyDescent="0.4">
      <c r="A153" t="s">
        <v>14</v>
      </c>
      <c r="B153" t="s">
        <v>20</v>
      </c>
      <c r="C153" t="s">
        <v>15</v>
      </c>
      <c r="D153">
        <v>30125</v>
      </c>
      <c r="E153" t="s">
        <v>90</v>
      </c>
    </row>
    <row r="154" spans="1:5" x14ac:dyDescent="0.4">
      <c r="A154" t="s">
        <v>14</v>
      </c>
      <c r="B154" t="s">
        <v>20</v>
      </c>
      <c r="C154" t="s">
        <v>15</v>
      </c>
      <c r="D154">
        <v>30000</v>
      </c>
      <c r="E154" t="s">
        <v>90</v>
      </c>
    </row>
    <row r="155" spans="1:5" x14ac:dyDescent="0.4">
      <c r="A155" t="s">
        <v>14</v>
      </c>
      <c r="B155" t="s">
        <v>20</v>
      </c>
      <c r="C155" t="s">
        <v>15</v>
      </c>
      <c r="D155">
        <v>29875</v>
      </c>
      <c r="E155" t="s">
        <v>90</v>
      </c>
    </row>
    <row r="156" spans="1:5" x14ac:dyDescent="0.4">
      <c r="A156" t="s">
        <v>14</v>
      </c>
      <c r="B156" t="s">
        <v>20</v>
      </c>
      <c r="C156" t="s">
        <v>15</v>
      </c>
      <c r="D156">
        <v>29750</v>
      </c>
      <c r="E156" t="s">
        <v>90</v>
      </c>
    </row>
    <row r="157" spans="1:5" x14ac:dyDescent="0.4">
      <c r="A157" t="s">
        <v>14</v>
      </c>
      <c r="B157" t="s">
        <v>20</v>
      </c>
      <c r="C157" t="s">
        <v>15</v>
      </c>
      <c r="D157">
        <v>29625</v>
      </c>
      <c r="E157" t="s">
        <v>90</v>
      </c>
    </row>
    <row r="158" spans="1:5" x14ac:dyDescent="0.4">
      <c r="A158" t="s">
        <v>14</v>
      </c>
      <c r="B158" t="s">
        <v>20</v>
      </c>
      <c r="C158" t="s">
        <v>15</v>
      </c>
      <c r="D158">
        <v>29500</v>
      </c>
      <c r="E158" t="s">
        <v>90</v>
      </c>
    </row>
    <row r="159" spans="1:5" x14ac:dyDescent="0.4">
      <c r="A159" t="s">
        <v>14</v>
      </c>
      <c r="B159" t="s">
        <v>20</v>
      </c>
      <c r="C159" t="s">
        <v>15</v>
      </c>
      <c r="D159">
        <v>29375</v>
      </c>
      <c r="E159" t="s">
        <v>90</v>
      </c>
    </row>
    <row r="160" spans="1:5" x14ac:dyDescent="0.4">
      <c r="A160" t="s">
        <v>14</v>
      </c>
      <c r="B160" t="s">
        <v>20</v>
      </c>
      <c r="C160" t="s">
        <v>15</v>
      </c>
      <c r="D160">
        <v>29250</v>
      </c>
      <c r="E160" t="s">
        <v>90</v>
      </c>
    </row>
    <row r="161" spans="1:6" x14ac:dyDescent="0.4">
      <c r="A161" t="s">
        <v>14</v>
      </c>
      <c r="B161" t="s">
        <v>20</v>
      </c>
      <c r="C161" t="s">
        <v>15</v>
      </c>
      <c r="D161">
        <v>29125</v>
      </c>
      <c r="E161" t="s">
        <v>90</v>
      </c>
      <c r="F161" s="2"/>
    </row>
    <row r="162" spans="1:6" x14ac:dyDescent="0.4">
      <c r="A162" t="s">
        <v>14</v>
      </c>
      <c r="B162" t="s">
        <v>20</v>
      </c>
      <c r="C162" t="s">
        <v>15</v>
      </c>
      <c r="D162">
        <v>29000</v>
      </c>
      <c r="E162" t="s">
        <v>90</v>
      </c>
    </row>
    <row r="163" spans="1:6" x14ac:dyDescent="0.4">
      <c r="A163" t="s">
        <v>14</v>
      </c>
      <c r="B163" t="s">
        <v>20</v>
      </c>
      <c r="C163" t="s">
        <v>15</v>
      </c>
      <c r="D163">
        <v>28875</v>
      </c>
      <c r="E163" t="s">
        <v>90</v>
      </c>
    </row>
    <row r="164" spans="1:6" x14ac:dyDescent="0.4">
      <c r="A164" t="s">
        <v>14</v>
      </c>
      <c r="B164" t="s">
        <v>20</v>
      </c>
      <c r="C164" t="s">
        <v>15</v>
      </c>
      <c r="D164">
        <v>28750</v>
      </c>
      <c r="E164" t="s">
        <v>90</v>
      </c>
    </row>
    <row r="165" spans="1:6" x14ac:dyDescent="0.4">
      <c r="A165" t="s">
        <v>14</v>
      </c>
      <c r="B165" t="s">
        <v>20</v>
      </c>
      <c r="C165" t="s">
        <v>15</v>
      </c>
      <c r="D165">
        <v>28625</v>
      </c>
      <c r="E165" t="s">
        <v>90</v>
      </c>
    </row>
    <row r="166" spans="1:6" x14ac:dyDescent="0.4">
      <c r="A166" t="s">
        <v>14</v>
      </c>
      <c r="B166" t="s">
        <v>20</v>
      </c>
      <c r="C166" t="s">
        <v>15</v>
      </c>
      <c r="D166">
        <v>28500</v>
      </c>
      <c r="E166" t="s">
        <v>90</v>
      </c>
    </row>
    <row r="167" spans="1:6" x14ac:dyDescent="0.4">
      <c r="A167" t="s">
        <v>14</v>
      </c>
      <c r="B167" t="s">
        <v>20</v>
      </c>
      <c r="C167" t="s">
        <v>15</v>
      </c>
      <c r="D167">
        <v>28375</v>
      </c>
      <c r="E167" t="s">
        <v>90</v>
      </c>
    </row>
    <row r="168" spans="1:6" x14ac:dyDescent="0.4">
      <c r="A168" t="s">
        <v>14</v>
      </c>
      <c r="B168" t="s">
        <v>20</v>
      </c>
      <c r="C168" t="s">
        <v>15</v>
      </c>
      <c r="D168">
        <v>28250</v>
      </c>
      <c r="E168" t="s">
        <v>90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Top</vt:lpstr>
      <vt:lpstr>N225Futures</vt:lpstr>
      <vt:lpstr>202310C</vt:lpstr>
      <vt:lpstr>202310P</vt:lpstr>
      <vt:lpstr>202310#3C</vt:lpstr>
      <vt:lpstr>202310#3P</vt:lpstr>
      <vt:lpstr>202310#4C</vt:lpstr>
      <vt:lpstr>202310#4P</vt:lpstr>
      <vt:lpstr>202311#1C</vt:lpstr>
      <vt:lpstr>202311#1P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 jiro</dc:creator>
  <cp:lastModifiedBy>kun jiro</cp:lastModifiedBy>
  <dcterms:created xsi:type="dcterms:W3CDTF">2023-10-03T11:03:34Z</dcterms:created>
  <dcterms:modified xsi:type="dcterms:W3CDTF">2023-10-09T06:04:31Z</dcterms:modified>
</cp:coreProperties>
</file>